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443570258FB0B7/Documents/"/>
    </mc:Choice>
  </mc:AlternateContent>
  <xr:revisionPtr revIDLastSave="937" documentId="8_{AB851FD4-6AE4-4E4A-9737-48E963BB2684}" xr6:coauthVersionLast="47" xr6:coauthVersionMax="47" xr10:uidLastSave="{E3BF16A3-A5F7-4170-9082-4052853152F1}"/>
  <bookViews>
    <workbookView xWindow="-108" yWindow="-108" windowWidth="23256" windowHeight="12456" activeTab="3" xr2:uid="{03A41732-3B20-4B07-A83F-37415918B593}"/>
  </bookViews>
  <sheets>
    <sheet name="Historical Data" sheetId="1" r:id="rId1"/>
    <sheet name="Financial Analysis" sheetId="2" r:id="rId2"/>
    <sheet name="Statement Model" sheetId="3" r:id="rId3"/>
    <sheet name="Forecast" sheetId="4" r:id="rId4"/>
    <sheet name="Char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9" i="4" l="1"/>
  <c r="E80" i="4"/>
  <c r="D79" i="4"/>
  <c r="D80" i="4"/>
  <c r="C79" i="4"/>
  <c r="C80" i="4"/>
  <c r="B79" i="4"/>
  <c r="B80" i="4"/>
  <c r="E78" i="4"/>
  <c r="D78" i="4"/>
  <c r="C78" i="4"/>
  <c r="B78" i="4"/>
  <c r="E77" i="4"/>
  <c r="D77" i="4"/>
  <c r="C77" i="4"/>
  <c r="B77" i="4"/>
  <c r="B81" i="4"/>
  <c r="C81" i="4"/>
  <c r="D81" i="4"/>
  <c r="E81" i="4"/>
  <c r="B6" i="4"/>
  <c r="B101" i="4"/>
  <c r="B102" i="4" s="1"/>
  <c r="B100" i="4"/>
  <c r="B99" i="4"/>
  <c r="B97" i="4"/>
  <c r="B96" i="4"/>
  <c r="B94" i="4"/>
  <c r="B93" i="4"/>
  <c r="B92" i="4"/>
  <c r="B90" i="4"/>
  <c r="B87" i="4"/>
  <c r="B85" i="4"/>
  <c r="C19" i="5"/>
  <c r="B19" i="5"/>
  <c r="B20" i="5"/>
  <c r="B21" i="5"/>
  <c r="B22" i="5"/>
  <c r="B23" i="5"/>
  <c r="B15" i="5"/>
  <c r="B14" i="5"/>
  <c r="B13" i="5"/>
  <c r="B12" i="5"/>
  <c r="B8" i="5"/>
  <c r="B7" i="5"/>
  <c r="B6" i="5"/>
  <c r="B5" i="5"/>
  <c r="B72" i="4"/>
  <c r="B71" i="4"/>
  <c r="B70" i="4"/>
  <c r="B65" i="4"/>
  <c r="B63" i="4"/>
  <c r="B55" i="4"/>
  <c r="B58" i="4"/>
  <c r="B57" i="4"/>
  <c r="B56" i="4"/>
  <c r="B54" i="4"/>
  <c r="B52" i="4"/>
  <c r="C52" i="4"/>
  <c r="B45" i="4"/>
  <c r="B44" i="4"/>
  <c r="B38" i="4"/>
  <c r="F30" i="4"/>
  <c r="G11" i="4"/>
  <c r="G25" i="4"/>
  <c r="F25" i="4"/>
  <c r="K30" i="4" s="1"/>
  <c r="G26" i="4"/>
  <c r="F26" i="4"/>
  <c r="K32" i="4"/>
  <c r="K31" i="4"/>
  <c r="K29" i="4"/>
  <c r="K28" i="4"/>
  <c r="E25" i="4"/>
  <c r="E26" i="4" s="1"/>
  <c r="D25" i="4"/>
  <c r="D26" i="4" s="1"/>
  <c r="C25" i="4"/>
  <c r="C26" i="4" s="1"/>
  <c r="B25" i="4"/>
  <c r="B26" i="4" s="1"/>
  <c r="F5" i="4"/>
  <c r="B16" i="4"/>
  <c r="C40" i="3"/>
  <c r="D40" i="3"/>
  <c r="E40" i="3"/>
  <c r="F40" i="3"/>
  <c r="B40" i="3"/>
  <c r="C39" i="3"/>
  <c r="D39" i="3"/>
  <c r="E39" i="3"/>
  <c r="F39" i="3"/>
  <c r="B39" i="3"/>
  <c r="D36" i="3"/>
  <c r="E36" i="3"/>
  <c r="F36" i="3"/>
  <c r="C36" i="3"/>
  <c r="C33" i="3"/>
  <c r="D33" i="3"/>
  <c r="E33" i="3"/>
  <c r="F33" i="3"/>
  <c r="B33" i="3"/>
  <c r="C32" i="3"/>
  <c r="D32" i="3"/>
  <c r="E32" i="3"/>
  <c r="F32" i="3"/>
  <c r="B32" i="3"/>
  <c r="C31" i="3"/>
  <c r="D31" i="3"/>
  <c r="E31" i="3"/>
  <c r="F31" i="3"/>
  <c r="B31" i="3"/>
  <c r="B8" i="4"/>
  <c r="F8" i="4"/>
  <c r="E8" i="4"/>
  <c r="D8" i="4"/>
  <c r="C8" i="4"/>
  <c r="E5" i="4"/>
  <c r="D5" i="4"/>
  <c r="C5" i="4"/>
  <c r="D27" i="3"/>
  <c r="C27" i="3"/>
  <c r="C24" i="3"/>
  <c r="D24" i="3"/>
  <c r="C25" i="3"/>
  <c r="D25" i="3"/>
  <c r="E25" i="3"/>
  <c r="F25" i="3"/>
  <c r="B25" i="3"/>
  <c r="E24" i="3"/>
  <c r="E27" i="3" s="1"/>
  <c r="F24" i="3" s="1"/>
  <c r="F27" i="3" s="1"/>
  <c r="C20" i="3"/>
  <c r="D20" i="3"/>
  <c r="E20" i="3"/>
  <c r="F20" i="3"/>
  <c r="C19" i="3"/>
  <c r="D19" i="3"/>
  <c r="E19" i="3"/>
  <c r="F19" i="3"/>
  <c r="C18" i="3"/>
  <c r="D18" i="3"/>
  <c r="E18" i="3"/>
  <c r="F18" i="3"/>
  <c r="B20" i="3"/>
  <c r="B19" i="3"/>
  <c r="B18" i="3"/>
  <c r="C17" i="3"/>
  <c r="D17" i="3"/>
  <c r="E17" i="3"/>
  <c r="F17" i="3"/>
  <c r="B17" i="3"/>
  <c r="C13" i="3"/>
  <c r="D13" i="3"/>
  <c r="E13" i="3"/>
  <c r="F13" i="3"/>
  <c r="B13" i="3"/>
  <c r="F12" i="3"/>
  <c r="C12" i="3"/>
  <c r="D12" i="3"/>
  <c r="E12" i="3"/>
  <c r="B12" i="3"/>
  <c r="C11" i="3"/>
  <c r="D11" i="3"/>
  <c r="E11" i="3"/>
  <c r="F11" i="3"/>
  <c r="B11" i="3"/>
  <c r="C10" i="3"/>
  <c r="D10" i="3"/>
  <c r="E10" i="3"/>
  <c r="F10" i="3"/>
  <c r="B10" i="3"/>
  <c r="C9" i="3"/>
  <c r="D9" i="3"/>
  <c r="E9" i="3"/>
  <c r="F9" i="3"/>
  <c r="B9" i="3"/>
  <c r="C8" i="3"/>
  <c r="D8" i="3"/>
  <c r="E8" i="3"/>
  <c r="F8" i="3"/>
  <c r="B8" i="3"/>
  <c r="C7" i="3"/>
  <c r="D7" i="3"/>
  <c r="E7" i="3"/>
  <c r="F7" i="3"/>
  <c r="B7" i="3"/>
  <c r="C6" i="3"/>
  <c r="D6" i="3"/>
  <c r="E6" i="3"/>
  <c r="F6" i="3"/>
  <c r="B6" i="3"/>
  <c r="D36" i="2"/>
  <c r="E36" i="2"/>
  <c r="F36" i="2"/>
  <c r="C36" i="2"/>
  <c r="B36" i="2"/>
  <c r="C35" i="2"/>
  <c r="D35" i="2"/>
  <c r="E35" i="2"/>
  <c r="F35" i="2"/>
  <c r="B35" i="2"/>
  <c r="C30" i="2"/>
  <c r="D30" i="2"/>
  <c r="E30" i="2"/>
  <c r="F30" i="2"/>
  <c r="B30" i="2"/>
  <c r="C29" i="2"/>
  <c r="D29" i="2"/>
  <c r="E29" i="2"/>
  <c r="F29" i="2"/>
  <c r="B29" i="2"/>
  <c r="C28" i="2"/>
  <c r="D28" i="2"/>
  <c r="E28" i="2"/>
  <c r="F28" i="2"/>
  <c r="B28" i="2"/>
  <c r="C27" i="2"/>
  <c r="D27" i="2"/>
  <c r="E27" i="2"/>
  <c r="F27" i="2"/>
  <c r="B27" i="2"/>
  <c r="F26" i="2"/>
  <c r="C26" i="2"/>
  <c r="D26" i="2"/>
  <c r="E26" i="2"/>
  <c r="B26" i="2"/>
  <c r="D19" i="2"/>
  <c r="E19" i="2"/>
  <c r="F19" i="2"/>
  <c r="C19" i="2"/>
  <c r="D18" i="2"/>
  <c r="E18" i="2"/>
  <c r="F18" i="2"/>
  <c r="C18" i="2"/>
  <c r="D17" i="2"/>
  <c r="E17" i="2"/>
  <c r="F17" i="2"/>
  <c r="C17" i="2"/>
  <c r="D16" i="2"/>
  <c r="E16" i="2"/>
  <c r="F16" i="2"/>
  <c r="C16" i="2"/>
  <c r="C11" i="2"/>
  <c r="D11" i="2"/>
  <c r="E11" i="2"/>
  <c r="F11" i="2"/>
  <c r="B11" i="2"/>
  <c r="C10" i="2"/>
  <c r="D10" i="2"/>
  <c r="E10" i="2"/>
  <c r="F10" i="2"/>
  <c r="B10" i="2"/>
  <c r="C9" i="2"/>
  <c r="D9" i="2"/>
  <c r="E9" i="2"/>
  <c r="F9" i="2"/>
  <c r="B9" i="2"/>
  <c r="C8" i="2"/>
  <c r="D8" i="2"/>
  <c r="E8" i="2"/>
  <c r="F8" i="2"/>
  <c r="B8" i="2"/>
  <c r="C7" i="2"/>
  <c r="D7" i="2"/>
  <c r="E7" i="2"/>
  <c r="F7" i="2"/>
  <c r="B7" i="2"/>
  <c r="C6" i="2"/>
  <c r="D6" i="2"/>
  <c r="E6" i="2"/>
  <c r="F6" i="2"/>
  <c r="B6" i="2"/>
  <c r="C5" i="2"/>
  <c r="D5" i="2"/>
  <c r="E5" i="2"/>
  <c r="F5" i="2"/>
  <c r="B5" i="2"/>
  <c r="F35" i="1"/>
  <c r="E35" i="1"/>
  <c r="D35" i="1"/>
  <c r="C35" i="1"/>
  <c r="F34" i="1"/>
  <c r="E34" i="1"/>
  <c r="D34" i="1"/>
  <c r="C34" i="1"/>
  <c r="C33" i="1"/>
  <c r="D33" i="1"/>
  <c r="E33" i="1"/>
  <c r="F33" i="1"/>
  <c r="B33" i="1"/>
  <c r="C32" i="1"/>
  <c r="D32" i="1"/>
  <c r="E32" i="1"/>
  <c r="F32" i="1"/>
  <c r="B32" i="1"/>
  <c r="C31" i="1"/>
  <c r="D31" i="1"/>
  <c r="E31" i="1"/>
  <c r="F31" i="1"/>
  <c r="B31" i="1"/>
  <c r="C14" i="1"/>
  <c r="D14" i="1"/>
  <c r="E14" i="1"/>
  <c r="F14" i="1"/>
  <c r="B14" i="1"/>
  <c r="C13" i="1"/>
  <c r="D13" i="1"/>
  <c r="E13" i="1"/>
  <c r="F13" i="1"/>
  <c r="B13" i="1"/>
  <c r="C12" i="1"/>
  <c r="D12" i="1"/>
  <c r="E12" i="1"/>
  <c r="F12" i="1"/>
  <c r="B12" i="1"/>
  <c r="C11" i="1"/>
  <c r="D11" i="1"/>
  <c r="E11" i="1"/>
  <c r="F11" i="1"/>
  <c r="B11" i="1"/>
  <c r="C10" i="1"/>
  <c r="D10" i="1"/>
  <c r="E10" i="1"/>
  <c r="F10" i="1"/>
  <c r="B10" i="1"/>
  <c r="F31" i="4" l="1"/>
  <c r="F32" i="4" s="1"/>
  <c r="B31" i="4"/>
  <c r="D31" i="4"/>
  <c r="E31" i="4"/>
  <c r="C31" i="4"/>
  <c r="G27" i="4"/>
  <c r="B14" i="4"/>
  <c r="B9" i="4"/>
  <c r="B11" i="4" s="1"/>
  <c r="C6" i="4"/>
  <c r="N28" i="4"/>
  <c r="N29" i="4" s="1"/>
  <c r="B15" i="4" l="1"/>
  <c r="B12" i="4"/>
  <c r="N30" i="4"/>
  <c r="D6" i="4"/>
  <c r="C14" i="4"/>
  <c r="C9" i="4"/>
  <c r="C11" i="4" s="1"/>
  <c r="C12" i="4" l="1"/>
  <c r="C15" i="4"/>
  <c r="B22" i="4"/>
  <c r="B23" i="4" s="1"/>
  <c r="B17" i="4"/>
  <c r="E6" i="4"/>
  <c r="F6" i="4" s="1"/>
  <c r="D14" i="4"/>
  <c r="D9" i="4"/>
  <c r="D11" i="4"/>
  <c r="D15" i="4" l="1"/>
  <c r="D12" i="4"/>
  <c r="B18" i="4"/>
  <c r="B19" i="4" s="1"/>
  <c r="B20" i="4" s="1"/>
  <c r="C22" i="4"/>
  <c r="C23" i="4" s="1"/>
  <c r="C17" i="4"/>
  <c r="E14" i="4"/>
  <c r="E9" i="4"/>
  <c r="E11" i="4" s="1"/>
  <c r="B30" i="4" l="1"/>
  <c r="B32" i="4" s="1"/>
  <c r="E12" i="4"/>
  <c r="E15" i="4"/>
  <c r="C18" i="4"/>
  <c r="C19" i="4" s="1"/>
  <c r="C20" i="4" s="1"/>
  <c r="F14" i="4"/>
  <c r="F9" i="4"/>
  <c r="F11" i="4" s="1"/>
  <c r="D22" i="4"/>
  <c r="D23" i="4" s="1"/>
  <c r="D17" i="4"/>
  <c r="C30" i="4" l="1"/>
  <c r="C32" i="4" s="1"/>
  <c r="F12" i="4"/>
  <c r="F15" i="4"/>
  <c r="E22" i="4"/>
  <c r="E23" i="4" s="1"/>
  <c r="E17" i="4"/>
  <c r="D18" i="4"/>
  <c r="D19" i="4" s="1"/>
  <c r="D20" i="4" s="1"/>
  <c r="D30" i="4" l="1"/>
  <c r="D32" i="4" s="1"/>
  <c r="E18" i="4"/>
  <c r="E19" i="4" s="1"/>
  <c r="E20" i="4" s="1"/>
  <c r="F17" i="4"/>
  <c r="F22" i="4"/>
  <c r="F23" i="4" s="1"/>
  <c r="E30" i="4" l="1"/>
  <c r="E32" i="4" s="1"/>
  <c r="B33" i="4" s="1"/>
  <c r="B34" i="4" s="1"/>
  <c r="B35" i="4" s="1"/>
  <c r="F18" i="4"/>
  <c r="F19" i="4" s="1"/>
  <c r="F20" i="4" s="1"/>
</calcChain>
</file>

<file path=xl/sharedStrings.xml><?xml version="1.0" encoding="utf-8"?>
<sst xmlns="http://schemas.openxmlformats.org/spreadsheetml/2006/main" count="250" uniqueCount="164">
  <si>
    <t>Greenfield Pharma Ltd – Historical Financial Data</t>
  </si>
  <si>
    <t>Particulars</t>
  </si>
  <si>
    <t>Revenue</t>
  </si>
  <si>
    <t>Operating expenses</t>
  </si>
  <si>
    <t xml:space="preserve">Depriciation </t>
  </si>
  <si>
    <t>Intrest</t>
  </si>
  <si>
    <t xml:space="preserve">Tax Rate </t>
  </si>
  <si>
    <t xml:space="preserve">EBITA </t>
  </si>
  <si>
    <t xml:space="preserve">EBIT </t>
  </si>
  <si>
    <t>PBT</t>
  </si>
  <si>
    <t xml:space="preserve">Tax </t>
  </si>
  <si>
    <t xml:space="preserve">Net Income </t>
  </si>
  <si>
    <t>BALANCE SHEET</t>
  </si>
  <si>
    <t xml:space="preserve">Particulars </t>
  </si>
  <si>
    <t>Total Asset</t>
  </si>
  <si>
    <t>Total Debt</t>
  </si>
  <si>
    <t>Cash</t>
  </si>
  <si>
    <t>Equity</t>
  </si>
  <si>
    <t>ADDITIONAL INFORMATION</t>
  </si>
  <si>
    <t>Risk Free Rate</t>
  </si>
  <si>
    <t>Market Return</t>
  </si>
  <si>
    <t xml:space="preserve">Equity Beta </t>
  </si>
  <si>
    <t>Cost of Debt</t>
  </si>
  <si>
    <t>Outstanding Share</t>
  </si>
  <si>
    <t xml:space="preserve">Expected Growth Rate </t>
  </si>
  <si>
    <t>EBITA Margin</t>
  </si>
  <si>
    <t>EBIT Margin</t>
  </si>
  <si>
    <t>Net Profit Margin</t>
  </si>
  <si>
    <t>Revenue Growth</t>
  </si>
  <si>
    <t>N/A</t>
  </si>
  <si>
    <t>Net Income Growth</t>
  </si>
  <si>
    <t>Greenfield Pharma Ltd – Financial Analysis</t>
  </si>
  <si>
    <t>Common-Size Income Statement</t>
  </si>
  <si>
    <t>Operating Expenses</t>
  </si>
  <si>
    <t>Depriciation</t>
  </si>
  <si>
    <t>EBITA</t>
  </si>
  <si>
    <t>Net Income</t>
  </si>
  <si>
    <t>Comparative Analysis – Year-over-Year Growth</t>
  </si>
  <si>
    <t>Operating Exp Growth</t>
  </si>
  <si>
    <t>EBITA Growth</t>
  </si>
  <si>
    <t>RATIO ANALYSIS</t>
  </si>
  <si>
    <t xml:space="preserve">Ratio </t>
  </si>
  <si>
    <t>Current Ratio</t>
  </si>
  <si>
    <t>Quick Ratio</t>
  </si>
  <si>
    <t>Operating Margin</t>
  </si>
  <si>
    <t>ROE</t>
  </si>
  <si>
    <t>Debt To Equity</t>
  </si>
  <si>
    <t>Interest Coverage</t>
  </si>
  <si>
    <t>TREND ANALYSIS</t>
  </si>
  <si>
    <t>Revenue Trend</t>
  </si>
  <si>
    <t>Net Income Trend</t>
  </si>
  <si>
    <t>Greenfield Pharma Ltd – 3 Statement Model</t>
  </si>
  <si>
    <t>Income Statement</t>
  </si>
  <si>
    <t>Profit Before Tax</t>
  </si>
  <si>
    <t>Tax</t>
  </si>
  <si>
    <t>Total Assets</t>
  </si>
  <si>
    <t xml:space="preserve">Total Debt </t>
  </si>
  <si>
    <t>Retained Earnings Schedule</t>
  </si>
  <si>
    <t>Opening Retained Earnings</t>
  </si>
  <si>
    <t>Dividends</t>
  </si>
  <si>
    <t>Closed Retained Earnings</t>
  </si>
  <si>
    <t>Greenfield Pharma Ltd – Financial Forecast</t>
  </si>
  <si>
    <t>Expected Growth Rate : 7%</t>
  </si>
  <si>
    <t>Future Revenue = Previous Year Revenue × (1 + Growth Rate)</t>
  </si>
  <si>
    <t xml:space="preserve">Revenue Growth Rate </t>
  </si>
  <si>
    <t xml:space="preserve">Revenue </t>
  </si>
  <si>
    <t>Operating expenses Margin</t>
  </si>
  <si>
    <t>Operating Expenses Margin = Operating expenses/ Revenue</t>
  </si>
  <si>
    <t>Operating Expenses = Forcast Revenue*Operating expenses Margin</t>
  </si>
  <si>
    <t>EBITA = Revenue − Operating Expenses</t>
  </si>
  <si>
    <t>EBITA Margin= EBITA/ Forecast Revenue</t>
  </si>
  <si>
    <t>Because we don’t have dividend data , we cannot calculate a proper Retained Earning .</t>
  </si>
  <si>
    <t>RE= Beginning RE + Net Income - Dividends</t>
  </si>
  <si>
    <t xml:space="preserve">Cash Flow Statements </t>
  </si>
  <si>
    <t xml:space="preserve">Net income </t>
  </si>
  <si>
    <t>Cash Flow From Operations</t>
  </si>
  <si>
    <t>Capital Expenditure</t>
  </si>
  <si>
    <t xml:space="preserve">Cash Flow From Investing </t>
  </si>
  <si>
    <t>Change In Debt</t>
  </si>
  <si>
    <t>Cash Flow From Financing</t>
  </si>
  <si>
    <t>Net Change In Cash</t>
  </si>
  <si>
    <t>Beginning Cash</t>
  </si>
  <si>
    <t>Ending Cash</t>
  </si>
  <si>
    <t>Investing Activity Not calculated as no capital expenditure was made</t>
  </si>
  <si>
    <t>Operating Profit</t>
  </si>
  <si>
    <t>Net Profit</t>
  </si>
  <si>
    <t>Cash Flow</t>
  </si>
  <si>
    <t>NOPAT</t>
  </si>
  <si>
    <t>NOPAT = EBIT* (1- Tax rate )</t>
  </si>
  <si>
    <t>UFCF</t>
  </si>
  <si>
    <t>Unleavered Free cash Flow (UFCF) = NOPAT + Depriciation</t>
  </si>
  <si>
    <t>Cost of Equity</t>
  </si>
  <si>
    <t>Cost Of Equity Using CAPM = Risk Free rate + company Beta*(Expected market Return*risk free rate)</t>
  </si>
  <si>
    <t>WACC</t>
  </si>
  <si>
    <t>WACC= Equity/Debt + Equity * Cost of equity + Debt/Equity + Debt * Cost of debt *(1- Tax)</t>
  </si>
  <si>
    <t>Debt</t>
  </si>
  <si>
    <t>Cost of equity</t>
  </si>
  <si>
    <t xml:space="preserve">Cost Of Debt </t>
  </si>
  <si>
    <t>Tax Rate</t>
  </si>
  <si>
    <t xml:space="preserve">Total capital = </t>
  </si>
  <si>
    <t>Equity weight</t>
  </si>
  <si>
    <t>Debt weight</t>
  </si>
  <si>
    <t>Terminal Value</t>
  </si>
  <si>
    <t>Year</t>
  </si>
  <si>
    <t>Discount Factor</t>
  </si>
  <si>
    <t>Enterprise Value</t>
  </si>
  <si>
    <t>PV of UFCF</t>
  </si>
  <si>
    <t>Equity Value</t>
  </si>
  <si>
    <t>Value Per Share</t>
  </si>
  <si>
    <t>BOOK VALUE VALUATION</t>
  </si>
  <si>
    <t>Book Value Per Share</t>
  </si>
  <si>
    <t>Book value per share = Equity ÷ Shares Outstanding</t>
  </si>
  <si>
    <t>Adjusted Book Value Method</t>
  </si>
  <si>
    <t xml:space="preserve">The Adjusted Book Value Method calculates a company’s value by </t>
  </si>
  <si>
    <t xml:space="preserve">updating its balance sheet items to current fair market values. Subtracting adjusted liabilities from </t>
  </si>
  <si>
    <t>adjusted assets gives you the company's real net asset value—making this approach ideal when historical book values are out of date.</t>
  </si>
  <si>
    <t>EBITDA</t>
  </si>
  <si>
    <t>Enterprise Value = Equity + Debt - Cash</t>
  </si>
  <si>
    <t>RELATIVE VALUATION</t>
  </si>
  <si>
    <t xml:space="preserve"> Enterprise Value and EBITDA</t>
  </si>
  <si>
    <t>Comparable Company</t>
  </si>
  <si>
    <t>EV/EBITDA</t>
  </si>
  <si>
    <t>P/E</t>
  </si>
  <si>
    <t>Sun Pharma</t>
  </si>
  <si>
    <t>Cipla</t>
  </si>
  <si>
    <t>Dr Reddys</t>
  </si>
  <si>
    <t>AvG. Multiple</t>
  </si>
  <si>
    <t>Implied Equity Value – EV</t>
  </si>
  <si>
    <t>Implied Enterprise Value – EBITDA</t>
  </si>
  <si>
    <t>Implied Equity Value – P/E</t>
  </si>
  <si>
    <t>Implied Value Per Share – EV/EBITDA</t>
  </si>
  <si>
    <t>Implied Value Per Share – P/E</t>
  </si>
  <si>
    <t>Replacement Cost Method</t>
  </si>
  <si>
    <t>Calculation of replacement Cost</t>
  </si>
  <si>
    <t>2024 Total Assets</t>
  </si>
  <si>
    <t>Inflation  Rate</t>
  </si>
  <si>
    <t>Replacement Cost Of Assets</t>
  </si>
  <si>
    <t>Beta Analysis</t>
  </si>
  <si>
    <t>Equity Beta</t>
  </si>
  <si>
    <t>Unleavered Beta</t>
  </si>
  <si>
    <t>Releavered Beta</t>
  </si>
  <si>
    <t>DCF Sensitivity Analysis</t>
  </si>
  <si>
    <t>WACC / Terminal Growth</t>
  </si>
  <si>
    <t>Financial  Analysis Charts</t>
  </si>
  <si>
    <t>Profit Growth</t>
  </si>
  <si>
    <t>Ratio Comparision</t>
  </si>
  <si>
    <t>Ratio</t>
  </si>
  <si>
    <t>Debt/Equity</t>
  </si>
  <si>
    <t>Intrest Coverage</t>
  </si>
  <si>
    <t>Chart Value</t>
  </si>
  <si>
    <t>Sector-Based Revenue Multiple Valuation</t>
  </si>
  <si>
    <t>2024 Revenue</t>
  </si>
  <si>
    <t>Pharma Sector Growth Rate</t>
  </si>
  <si>
    <t>Estimated 2025 Revenue</t>
  </si>
  <si>
    <t>Pharma Sector EV/Revenue Multiple</t>
  </si>
  <si>
    <t>Estimated Enterprise Value</t>
  </si>
  <si>
    <t>Estimated Equity Value</t>
  </si>
  <si>
    <t>Estimated Value Per Share</t>
  </si>
  <si>
    <t>Comparable Company Average Value</t>
  </si>
  <si>
    <t>Sector-Based Estimated Value</t>
  </si>
  <si>
    <t>Difference</t>
  </si>
  <si>
    <t>Difference %</t>
  </si>
  <si>
    <t>UNDERVALUED</t>
  </si>
  <si>
    <r>
      <rPr>
        <b/>
        <sz val="11"/>
        <color theme="1"/>
        <rFont val="Aptos Narrow"/>
        <family val="2"/>
        <scheme val="minor"/>
      </rPr>
      <t>Valuation Conclusion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</si>
</sst>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2"/>
      <color theme="1"/>
      <name val="Arial Unicode MS"/>
    </font>
    <font>
      <sz val="10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44" fontId="0" fillId="0" borderId="0" xfId="0" applyNumberFormat="1"/>
    <xf numFmtId="0" fontId="2" fillId="0" borderId="0" xfId="0" applyFont="1"/>
    <xf numFmtId="0" fontId="3" fillId="0" borderId="0" xfId="0" applyFont="1"/>
    <xf numFmtId="10" fontId="0" fillId="0" borderId="0" xfId="1" applyNumberFormat="1" applyFont="1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44" fontId="2" fillId="0" borderId="0" xfId="0" applyNumberFormat="1" applyFont="1"/>
    <xf numFmtId="44" fontId="2" fillId="0" borderId="0" xfId="0" applyNumberFormat="1" applyFont="1" applyAlignment="1">
      <alignment vertical="center" wrapText="1"/>
    </xf>
    <xf numFmtId="164" fontId="0" fillId="0" borderId="0" xfId="0" applyNumberFormat="1"/>
    <xf numFmtId="2" fontId="0" fillId="0" borderId="0" xfId="1" applyNumberFormat="1" applyFont="1"/>
    <xf numFmtId="0" fontId="7" fillId="0" borderId="0" xfId="0" applyFont="1"/>
    <xf numFmtId="9" fontId="8" fillId="0" borderId="0" xfId="0" applyNumberFormat="1" applyFont="1"/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Growth (2021–2024)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69816272965874E-2"/>
          <c:y val="0.22913203557888592"/>
          <c:w val="0.87764129483814524"/>
          <c:h val="0.6153546952464275"/>
        </c:manualLayout>
      </c:layout>
      <c:lineChart>
        <c:grouping val="standard"/>
        <c:varyColors val="0"/>
        <c:ser>
          <c:idx val="1"/>
          <c:order val="0"/>
          <c:tx>
            <c:strRef>
              <c:f>Charts!$B$4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Charts!$A$5:$A$8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Charts!$B$5:$B$8</c:f>
              <c:numCache>
                <c:formatCode>0%</c:formatCode>
                <c:ptCount val="4"/>
                <c:pt idx="0">
                  <c:v>9.5238095238095344E-2</c:v>
                </c:pt>
                <c:pt idx="1">
                  <c:v>0.10869565217391308</c:v>
                </c:pt>
                <c:pt idx="2">
                  <c:v>0.11764705882352944</c:v>
                </c:pt>
                <c:pt idx="3">
                  <c:v>0.12280701754385959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36-4F2F-97C3-1E066A1B0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6513616"/>
        <c:axId val="213366096"/>
      </c:lineChart>
      <c:catAx>
        <c:axId val="94651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6096"/>
        <c:crosses val="autoZero"/>
        <c:auto val="1"/>
        <c:lblAlgn val="ctr"/>
        <c:lblOffset val="100"/>
        <c:noMultiLvlLbl val="0"/>
      </c:catAx>
      <c:valAx>
        <c:axId val="2133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1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Charts!$B$11</c:f>
              <c:strCache>
                <c:ptCount val="1"/>
                <c:pt idx="0">
                  <c:v>Net Income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Charts!$A$12:$A$15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Charts!$B$12:$B$15</c:f>
              <c:numCache>
                <c:formatCode>0%</c:formatCode>
                <c:ptCount val="4"/>
                <c:pt idx="0">
                  <c:v>0.12844036697247696</c:v>
                </c:pt>
                <c:pt idx="1">
                  <c:v>0.1447154471544716</c:v>
                </c:pt>
                <c:pt idx="2">
                  <c:v>0.16122159090909083</c:v>
                </c:pt>
                <c:pt idx="3">
                  <c:v>0.13883792048929666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E-4EF7-9103-D4F872FAB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270400"/>
        <c:axId val="1025808304"/>
      </c:lineChart>
      <c:catAx>
        <c:axId val="89427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08304"/>
        <c:crosses val="autoZero"/>
        <c:auto val="1"/>
        <c:lblAlgn val="ctr"/>
        <c:lblOffset val="100"/>
        <c:noMultiLvlLbl val="0"/>
      </c:catAx>
      <c:valAx>
        <c:axId val="102580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27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 Comparision 2024</a:t>
            </a:r>
          </a:p>
        </c:rich>
      </c:tx>
      <c:layout>
        <c:manualLayout>
          <c:xMode val="edge"/>
          <c:yMode val="edge"/>
          <c:x val="0.3424234470691163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Charts!$A$19:$A$23</c:f>
              <c:strCache>
                <c:ptCount val="5"/>
                <c:pt idx="0">
                  <c:v>Operating Margin</c:v>
                </c:pt>
                <c:pt idx="1">
                  <c:v>Net Profit Margin</c:v>
                </c:pt>
                <c:pt idx="2">
                  <c:v>ROE</c:v>
                </c:pt>
                <c:pt idx="3">
                  <c:v>Debt/Equity</c:v>
                </c:pt>
                <c:pt idx="4">
                  <c:v>Intrest Coverage</c:v>
                </c:pt>
              </c:strCache>
            </c:strRef>
          </c:cat>
          <c:val>
            <c:numRef>
              <c:f>Charts!$C$19:$C$23</c:f>
              <c:numCache>
                <c:formatCode>General</c:formatCode>
                <c:ptCount val="5"/>
                <c:pt idx="0">
                  <c:v>33.590000000000003</c:v>
                </c:pt>
                <c:pt idx="1">
                  <c:v>21.82</c:v>
                </c:pt>
                <c:pt idx="2">
                  <c:v>21</c:v>
                </c:pt>
                <c:pt idx="3">
                  <c:v>0.15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F-43E7-8BF1-FC4A686E6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584608"/>
        <c:axId val="1025823664"/>
      </c:barChart>
      <c:catAx>
        <c:axId val="58358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23664"/>
        <c:crosses val="autoZero"/>
        <c:auto val="1"/>
        <c:lblAlgn val="ctr"/>
        <c:lblOffset val="100"/>
        <c:noMultiLvlLbl val="0"/>
      </c:catAx>
      <c:valAx>
        <c:axId val="10258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8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</xdr:row>
      <xdr:rowOff>7620</xdr:rowOff>
    </xdr:from>
    <xdr:to>
      <xdr:col>11</xdr:col>
      <xdr:colOff>144780</xdr:colOff>
      <xdr:row>12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037FD-2BC0-09AA-7F38-A777C5C55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13</xdr:row>
      <xdr:rowOff>87630</xdr:rowOff>
    </xdr:from>
    <xdr:to>
      <xdr:col>10</xdr:col>
      <xdr:colOff>464820</xdr:colOff>
      <xdr:row>24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AFE282-B80D-1F26-F875-0FBAB24F3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464820</xdr:colOff>
      <xdr:row>4</xdr:row>
      <xdr:rowOff>72390</xdr:rowOff>
    </xdr:from>
    <xdr:to>
      <xdr:col>19</xdr:col>
      <xdr:colOff>160020</xdr:colOff>
      <xdr:row>19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C2D33A-6159-6872-EA82-3517FDFF9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290F-626C-4101-A561-EDA1B03C7268}">
  <dimension ref="A1:F35"/>
  <sheetViews>
    <sheetView topLeftCell="A10" workbookViewId="0">
      <selection activeCell="B29" sqref="B29"/>
    </sheetView>
  </sheetViews>
  <sheetFormatPr defaultRowHeight="14.4"/>
  <cols>
    <col min="1" max="1" width="18.33203125" customWidth="1"/>
    <col min="2" max="6" width="11.109375" bestFit="1" customWidth="1"/>
  </cols>
  <sheetData>
    <row r="1" spans="1:6" ht="18">
      <c r="A1" s="6" t="s">
        <v>0</v>
      </c>
      <c r="B1" s="6"/>
      <c r="C1" s="6"/>
      <c r="D1" s="6"/>
      <c r="E1" s="6"/>
      <c r="F1" s="6"/>
    </row>
    <row r="3" spans="1:6">
      <c r="A3" s="5" t="s">
        <v>1</v>
      </c>
      <c r="B3" s="5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>
      <c r="A4" t="s">
        <v>2</v>
      </c>
      <c r="B4" s="4">
        <v>42000</v>
      </c>
      <c r="C4" s="4">
        <v>46000</v>
      </c>
      <c r="D4" s="4">
        <v>51000</v>
      </c>
      <c r="E4" s="4">
        <v>57000</v>
      </c>
      <c r="F4" s="4">
        <v>64000</v>
      </c>
    </row>
    <row r="5" spans="1:6">
      <c r="A5" t="s">
        <v>3</v>
      </c>
      <c r="B5" s="4">
        <v>29000</v>
      </c>
      <c r="C5" s="4">
        <v>31500</v>
      </c>
      <c r="D5" s="4">
        <v>34500</v>
      </c>
      <c r="E5" s="4">
        <v>38000</v>
      </c>
      <c r="F5" s="4">
        <v>42500</v>
      </c>
    </row>
    <row r="6" spans="1:6">
      <c r="A6" t="s">
        <v>4</v>
      </c>
      <c r="B6" s="4">
        <v>1800</v>
      </c>
      <c r="C6" s="4">
        <v>1900</v>
      </c>
      <c r="D6" s="4">
        <v>2100</v>
      </c>
      <c r="E6" s="4">
        <v>2300</v>
      </c>
      <c r="F6" s="4">
        <v>2500</v>
      </c>
    </row>
    <row r="7" spans="1:6">
      <c r="A7" t="s">
        <v>5</v>
      </c>
      <c r="B7" s="4">
        <v>300</v>
      </c>
      <c r="C7" s="4">
        <v>300</v>
      </c>
      <c r="D7" s="4">
        <v>320</v>
      </c>
      <c r="E7" s="4">
        <v>350</v>
      </c>
      <c r="F7" s="4">
        <v>380</v>
      </c>
    </row>
    <row r="8" spans="1:6">
      <c r="A8" t="s">
        <v>6</v>
      </c>
      <c r="B8" s="1">
        <v>0.25</v>
      </c>
      <c r="C8" s="1">
        <v>0.25</v>
      </c>
      <c r="D8" s="1">
        <v>0.25</v>
      </c>
      <c r="E8" s="1">
        <v>0.25</v>
      </c>
      <c r="F8" s="1">
        <v>0.25</v>
      </c>
    </row>
    <row r="10" spans="1:6">
      <c r="A10" s="5" t="s">
        <v>7</v>
      </c>
      <c r="B10" s="4">
        <f>B4-B5</f>
        <v>13000</v>
      </c>
      <c r="C10" s="4">
        <f t="shared" ref="C10:F10" si="0">C4-C5</f>
        <v>14500</v>
      </c>
      <c r="D10" s="4">
        <f t="shared" si="0"/>
        <v>16500</v>
      </c>
      <c r="E10" s="4">
        <f t="shared" si="0"/>
        <v>19000</v>
      </c>
      <c r="F10" s="4">
        <f t="shared" si="0"/>
        <v>21500</v>
      </c>
    </row>
    <row r="11" spans="1:6">
      <c r="A11" s="5" t="s">
        <v>8</v>
      </c>
      <c r="B11" s="4">
        <f>B10-B6</f>
        <v>11200</v>
      </c>
      <c r="C11" s="4">
        <f t="shared" ref="C11:F11" si="1">C10-C6</f>
        <v>12600</v>
      </c>
      <c r="D11" s="4">
        <f t="shared" si="1"/>
        <v>14400</v>
      </c>
      <c r="E11" s="4">
        <f t="shared" si="1"/>
        <v>16700</v>
      </c>
      <c r="F11" s="4">
        <f t="shared" si="1"/>
        <v>19000</v>
      </c>
    </row>
    <row r="12" spans="1:6">
      <c r="A12" s="5" t="s">
        <v>9</v>
      </c>
      <c r="B12" s="4">
        <f>B11-B7</f>
        <v>10900</v>
      </c>
      <c r="C12" s="4">
        <f t="shared" ref="C12:F12" si="2">C11-C7</f>
        <v>12300</v>
      </c>
      <c r="D12" s="4">
        <f t="shared" si="2"/>
        <v>14080</v>
      </c>
      <c r="E12" s="4">
        <f t="shared" si="2"/>
        <v>16350</v>
      </c>
      <c r="F12" s="4">
        <f t="shared" si="2"/>
        <v>18620</v>
      </c>
    </row>
    <row r="13" spans="1:6">
      <c r="A13" s="5" t="s">
        <v>10</v>
      </c>
      <c r="B13" s="4">
        <f>B12*B8</f>
        <v>2725</v>
      </c>
      <c r="C13" s="4">
        <f t="shared" ref="C13:F13" si="3">C12*C8</f>
        <v>3075</v>
      </c>
      <c r="D13" s="4">
        <f t="shared" si="3"/>
        <v>3520</v>
      </c>
      <c r="E13" s="4">
        <f t="shared" si="3"/>
        <v>4087.5</v>
      </c>
      <c r="F13" s="4">
        <f t="shared" si="3"/>
        <v>4655</v>
      </c>
    </row>
    <row r="14" spans="1:6">
      <c r="A14" s="5" t="s">
        <v>11</v>
      </c>
      <c r="B14" s="4">
        <f>B12-B13</f>
        <v>8175</v>
      </c>
      <c r="C14" s="4">
        <f t="shared" ref="C14:F14" si="4">C12-C13</f>
        <v>9225</v>
      </c>
      <c r="D14" s="4">
        <f t="shared" si="4"/>
        <v>10560</v>
      </c>
      <c r="E14" s="4">
        <f t="shared" si="4"/>
        <v>12262.5</v>
      </c>
      <c r="F14" s="4">
        <f t="shared" si="4"/>
        <v>13965</v>
      </c>
    </row>
    <row r="16" spans="1:6">
      <c r="A16" s="5" t="s">
        <v>12</v>
      </c>
      <c r="B16" s="5"/>
      <c r="C16" s="5"/>
      <c r="D16" s="5"/>
      <c r="E16" s="5"/>
      <c r="F16" s="5"/>
    </row>
    <row r="17" spans="1:6">
      <c r="A17" s="5" t="s">
        <v>13</v>
      </c>
      <c r="B17" s="5">
        <v>2020</v>
      </c>
      <c r="C17" s="5">
        <v>2021</v>
      </c>
      <c r="D17" s="5">
        <v>2022</v>
      </c>
      <c r="E17" s="5">
        <v>2023</v>
      </c>
      <c r="F17" s="5">
        <v>2024</v>
      </c>
    </row>
    <row r="18" spans="1:6">
      <c r="A18" t="s">
        <v>14</v>
      </c>
      <c r="B18" s="4">
        <v>55000</v>
      </c>
      <c r="C18" s="4">
        <v>60000</v>
      </c>
      <c r="D18" s="4">
        <v>66000</v>
      </c>
      <c r="E18" s="4">
        <v>73000</v>
      </c>
      <c r="F18" s="4">
        <v>81000</v>
      </c>
    </row>
    <row r="19" spans="1:6">
      <c r="A19" t="s">
        <v>15</v>
      </c>
      <c r="B19" s="4">
        <v>8000</v>
      </c>
      <c r="C19" s="4">
        <v>8500</v>
      </c>
      <c r="D19" s="4">
        <v>9000</v>
      </c>
      <c r="E19" s="4">
        <v>9500</v>
      </c>
      <c r="F19" s="4">
        <v>10000</v>
      </c>
    </row>
    <row r="20" spans="1:6">
      <c r="A20" t="s">
        <v>16</v>
      </c>
      <c r="B20" s="4">
        <v>6000</v>
      </c>
      <c r="C20" s="4">
        <v>7200</v>
      </c>
      <c r="D20" s="4">
        <v>8500</v>
      </c>
      <c r="E20" s="4">
        <v>10000</v>
      </c>
      <c r="F20" s="4">
        <v>11800</v>
      </c>
    </row>
    <row r="21" spans="1:6">
      <c r="A21" t="s">
        <v>17</v>
      </c>
      <c r="B21" s="4">
        <v>44000</v>
      </c>
      <c r="C21" s="4">
        <v>48500</v>
      </c>
      <c r="D21" s="4">
        <v>53500</v>
      </c>
      <c r="E21" s="4">
        <v>59500</v>
      </c>
      <c r="F21" s="4">
        <v>66500</v>
      </c>
    </row>
    <row r="23" spans="1:6">
      <c r="A23" s="5" t="s">
        <v>18</v>
      </c>
      <c r="B23" s="5"/>
      <c r="C23" s="5"/>
      <c r="D23" s="5"/>
      <c r="E23" s="5"/>
      <c r="F23" s="5"/>
    </row>
    <row r="24" spans="1:6">
      <c r="A24" t="s">
        <v>19</v>
      </c>
      <c r="B24" s="1">
        <v>0.06</v>
      </c>
    </row>
    <row r="25" spans="1:6">
      <c r="A25" t="s">
        <v>20</v>
      </c>
      <c r="B25" s="1">
        <v>0.12</v>
      </c>
    </row>
    <row r="26" spans="1:6">
      <c r="A26" t="s">
        <v>21</v>
      </c>
      <c r="B26">
        <v>0.85</v>
      </c>
    </row>
    <row r="27" spans="1:6">
      <c r="A27" t="s">
        <v>22</v>
      </c>
      <c r="B27" s="1">
        <v>7.0000000000000007E-2</v>
      </c>
    </row>
    <row r="28" spans="1:6">
      <c r="A28" t="s">
        <v>23</v>
      </c>
      <c r="B28">
        <v>160</v>
      </c>
    </row>
    <row r="29" spans="1:6">
      <c r="A29" t="s">
        <v>24</v>
      </c>
      <c r="B29" s="1">
        <v>7.0000000000000007E-2</v>
      </c>
    </row>
    <row r="31" spans="1:6">
      <c r="A31" t="s">
        <v>25</v>
      </c>
      <c r="B31" s="3">
        <f>B10/B4</f>
        <v>0.30952380952380953</v>
      </c>
      <c r="C31" s="3">
        <f t="shared" ref="C31:F31" si="5">C10/C4</f>
        <v>0.31521739130434784</v>
      </c>
      <c r="D31" s="3">
        <f t="shared" si="5"/>
        <v>0.3235294117647059</v>
      </c>
      <c r="E31" s="3">
        <f t="shared" si="5"/>
        <v>0.33333333333333331</v>
      </c>
      <c r="F31" s="3">
        <f t="shared" si="5"/>
        <v>0.3359375</v>
      </c>
    </row>
    <row r="32" spans="1:6">
      <c r="A32" t="s">
        <v>26</v>
      </c>
      <c r="B32" s="3">
        <f>B11/B4</f>
        <v>0.26666666666666666</v>
      </c>
      <c r="C32" s="3">
        <f t="shared" ref="C32:F32" si="6">C11/C4</f>
        <v>0.27391304347826084</v>
      </c>
      <c r="D32" s="3">
        <f t="shared" si="6"/>
        <v>0.28235294117647058</v>
      </c>
      <c r="E32" s="3">
        <f t="shared" si="6"/>
        <v>0.2929824561403509</v>
      </c>
      <c r="F32" s="3">
        <f t="shared" si="6"/>
        <v>0.296875</v>
      </c>
    </row>
    <row r="33" spans="1:6">
      <c r="A33" t="s">
        <v>27</v>
      </c>
      <c r="B33" s="3">
        <f>B14/B4</f>
        <v>0.19464285714285715</v>
      </c>
      <c r="C33" s="3">
        <f t="shared" ref="C33:F33" si="7">C14/C4</f>
        <v>0.20054347826086957</v>
      </c>
      <c r="D33" s="3">
        <f t="shared" si="7"/>
        <v>0.20705882352941177</v>
      </c>
      <c r="E33" s="3">
        <f t="shared" si="7"/>
        <v>0.21513157894736842</v>
      </c>
      <c r="F33" s="3">
        <f t="shared" si="7"/>
        <v>0.218203125</v>
      </c>
    </row>
    <row r="34" spans="1:6">
      <c r="A34" t="s">
        <v>28</v>
      </c>
      <c r="B34" t="s">
        <v>29</v>
      </c>
      <c r="C34" s="3">
        <f>C4/B4-1</f>
        <v>9.5238095238095344E-2</v>
      </c>
      <c r="D34" s="3">
        <f>D4/C4-1</f>
        <v>0.10869565217391308</v>
      </c>
      <c r="E34" s="3">
        <f>E4/D4-1</f>
        <v>0.11764705882352944</v>
      </c>
      <c r="F34" s="3">
        <f>F4/E4-1</f>
        <v>0.12280701754385959</v>
      </c>
    </row>
    <row r="35" spans="1:6">
      <c r="A35" t="s">
        <v>30</v>
      </c>
      <c r="B35" t="s">
        <v>29</v>
      </c>
      <c r="C35" s="3">
        <f>C14/B14-1</f>
        <v>0.12844036697247696</v>
      </c>
      <c r="D35" s="3">
        <f>D14/C14-1</f>
        <v>0.1447154471544716</v>
      </c>
      <c r="E35" s="3">
        <f>E14/D14-1</f>
        <v>0.16122159090909083</v>
      </c>
      <c r="F35" s="3">
        <f>F14/E14-1</f>
        <v>0.13883792048929666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FB3-B98B-46A6-8268-7AFE2E6450BF}">
  <dimension ref="A1:F36"/>
  <sheetViews>
    <sheetView topLeftCell="A6" workbookViewId="0">
      <selection activeCell="J7" sqref="J7"/>
    </sheetView>
  </sheetViews>
  <sheetFormatPr defaultRowHeight="14.4"/>
  <cols>
    <col min="1" max="1" width="44.6640625" bestFit="1" customWidth="1"/>
    <col min="2" max="6" width="10.109375" bestFit="1" customWidth="1"/>
  </cols>
  <sheetData>
    <row r="1" spans="1:6" ht="15.6">
      <c r="A1" s="9" t="s">
        <v>31</v>
      </c>
      <c r="B1" s="9"/>
      <c r="C1" s="9"/>
      <c r="D1" s="9"/>
    </row>
    <row r="3" spans="1:6" ht="15.6">
      <c r="A3" s="11" t="s">
        <v>32</v>
      </c>
      <c r="B3" s="9"/>
      <c r="C3" s="9"/>
      <c r="D3" s="9"/>
    </row>
    <row r="4" spans="1:6">
      <c r="A4" t="s">
        <v>1</v>
      </c>
      <c r="B4">
        <v>2020</v>
      </c>
      <c r="C4">
        <v>2021</v>
      </c>
      <c r="D4">
        <v>2022</v>
      </c>
      <c r="E4">
        <v>2023</v>
      </c>
      <c r="F4">
        <v>2024</v>
      </c>
    </row>
    <row r="5" spans="1:6">
      <c r="A5" t="s">
        <v>2</v>
      </c>
      <c r="B5" s="7">
        <f>'Historical Data'!B4/'Historical Data'!B4</f>
        <v>1</v>
      </c>
      <c r="C5" s="7">
        <f>'Historical Data'!C4/'Historical Data'!C4</f>
        <v>1</v>
      </c>
      <c r="D5" s="7">
        <f>'Historical Data'!D4/'Historical Data'!D4</f>
        <v>1</v>
      </c>
      <c r="E5" s="7">
        <f>'Historical Data'!E4/'Historical Data'!E4</f>
        <v>1</v>
      </c>
      <c r="F5" s="7">
        <f>'Historical Data'!F4/'Historical Data'!F4</f>
        <v>1</v>
      </c>
    </row>
    <row r="6" spans="1:6">
      <c r="A6" t="s">
        <v>33</v>
      </c>
      <c r="B6" s="2">
        <f>'Historical Data'!B5/'Historical Data'!B4</f>
        <v>0.69047619047619047</v>
      </c>
      <c r="C6" s="2">
        <f>'Historical Data'!C5/'Historical Data'!C4</f>
        <v>0.68478260869565222</v>
      </c>
      <c r="D6" s="2">
        <f>'Historical Data'!D5/'Historical Data'!D4</f>
        <v>0.67647058823529416</v>
      </c>
      <c r="E6" s="2">
        <f>'Historical Data'!E5/'Historical Data'!E4</f>
        <v>0.66666666666666663</v>
      </c>
      <c r="F6" s="2">
        <f>'Historical Data'!F5/'Historical Data'!F4</f>
        <v>0.6640625</v>
      </c>
    </row>
    <row r="7" spans="1:6">
      <c r="A7" t="s">
        <v>34</v>
      </c>
      <c r="B7" s="2">
        <f>'Historical Data'!B6/'Historical Data'!B4</f>
        <v>4.2857142857142858E-2</v>
      </c>
      <c r="C7" s="2">
        <f>'Historical Data'!C6/'Historical Data'!C4</f>
        <v>4.1304347826086954E-2</v>
      </c>
      <c r="D7" s="2">
        <f>'Historical Data'!D6/'Historical Data'!D4</f>
        <v>4.1176470588235294E-2</v>
      </c>
      <c r="E7" s="2">
        <f>'Historical Data'!E6/'Historical Data'!E4</f>
        <v>4.0350877192982457E-2</v>
      </c>
      <c r="F7" s="2">
        <f>'Historical Data'!F6/'Historical Data'!F4</f>
        <v>3.90625E-2</v>
      </c>
    </row>
    <row r="8" spans="1:6">
      <c r="A8" t="s">
        <v>5</v>
      </c>
      <c r="B8" s="2">
        <f>'Historical Data'!B7/'Historical Data'!B4</f>
        <v>7.1428571428571426E-3</v>
      </c>
      <c r="C8" s="2">
        <f>'Historical Data'!C7/'Historical Data'!C4</f>
        <v>6.5217391304347823E-3</v>
      </c>
      <c r="D8" s="2">
        <f>'Historical Data'!D7/'Historical Data'!D4</f>
        <v>6.2745098039215684E-3</v>
      </c>
      <c r="E8" s="2">
        <f>'Historical Data'!E7/'Historical Data'!E4</f>
        <v>6.1403508771929825E-3</v>
      </c>
      <c r="F8" s="2">
        <f>'Historical Data'!F7/'Historical Data'!F4</f>
        <v>5.9375000000000001E-3</v>
      </c>
    </row>
    <row r="9" spans="1:6">
      <c r="A9" t="s">
        <v>35</v>
      </c>
      <c r="B9" s="2">
        <f>'Historical Data'!B10/'Historical Data'!B4</f>
        <v>0.30952380952380953</v>
      </c>
      <c r="C9" s="2">
        <f>'Historical Data'!C10/'Historical Data'!C4</f>
        <v>0.31521739130434784</v>
      </c>
      <c r="D9" s="2">
        <f>'Historical Data'!D10/'Historical Data'!D4</f>
        <v>0.3235294117647059</v>
      </c>
      <c r="E9" s="2">
        <f>'Historical Data'!E10/'Historical Data'!E4</f>
        <v>0.33333333333333331</v>
      </c>
      <c r="F9" s="2">
        <f>'Historical Data'!F10/'Historical Data'!F4</f>
        <v>0.3359375</v>
      </c>
    </row>
    <row r="10" spans="1:6">
      <c r="A10" t="s">
        <v>35</v>
      </c>
      <c r="B10" s="2">
        <f>'Historical Data'!B11/'Historical Data'!B4</f>
        <v>0.26666666666666666</v>
      </c>
      <c r="C10" s="2">
        <f>'Historical Data'!C11/'Historical Data'!C4</f>
        <v>0.27391304347826084</v>
      </c>
      <c r="D10" s="2">
        <f>'Historical Data'!D11/'Historical Data'!D4</f>
        <v>0.28235294117647058</v>
      </c>
      <c r="E10" s="2">
        <f>'Historical Data'!E11/'Historical Data'!E4</f>
        <v>0.2929824561403509</v>
      </c>
      <c r="F10" s="2">
        <f>'Historical Data'!F11/'Historical Data'!F4</f>
        <v>0.296875</v>
      </c>
    </row>
    <row r="11" spans="1:6">
      <c r="A11" t="s">
        <v>36</v>
      </c>
      <c r="B11" s="2">
        <f>'Historical Data'!B14/'Historical Data'!B4</f>
        <v>0.19464285714285715</v>
      </c>
      <c r="C11" s="2">
        <f>'Historical Data'!C14/'Historical Data'!C4</f>
        <v>0.20054347826086957</v>
      </c>
      <c r="D11" s="2">
        <f>'Historical Data'!D14/'Historical Data'!D4</f>
        <v>0.20705882352941177</v>
      </c>
      <c r="E11" s="2">
        <f>'Historical Data'!E14/'Historical Data'!E4</f>
        <v>0.21513157894736842</v>
      </c>
      <c r="F11" s="2">
        <f>'Historical Data'!F14/'Historical Data'!F4</f>
        <v>0.218203125</v>
      </c>
    </row>
    <row r="14" spans="1:6" ht="15.6">
      <c r="A14" s="9" t="s">
        <v>37</v>
      </c>
      <c r="B14" s="9"/>
      <c r="C14" s="9"/>
      <c r="D14" s="9"/>
      <c r="E14" s="9"/>
    </row>
    <row r="15" spans="1:6">
      <c r="A15" t="s">
        <v>1</v>
      </c>
      <c r="B15">
        <v>2020</v>
      </c>
      <c r="C15">
        <v>2021</v>
      </c>
      <c r="D15">
        <v>2022</v>
      </c>
      <c r="E15">
        <v>2023</v>
      </c>
      <c r="F15">
        <v>2024</v>
      </c>
    </row>
    <row r="16" spans="1:6">
      <c r="A16" t="s">
        <v>28</v>
      </c>
      <c r="B16" t="s">
        <v>29</v>
      </c>
      <c r="C16" s="2">
        <f>'Historical Data'!C4/'Historical Data'!B4-1</f>
        <v>9.5238095238095344E-2</v>
      </c>
      <c r="D16" s="2">
        <f>'Historical Data'!D4/'Historical Data'!C4-1</f>
        <v>0.10869565217391308</v>
      </c>
      <c r="E16" s="2">
        <f>'Historical Data'!E4/'Historical Data'!D4-1</f>
        <v>0.11764705882352944</v>
      </c>
      <c r="F16" s="2">
        <f>'Historical Data'!F4/'Historical Data'!E4-1</f>
        <v>0.12280701754385959</v>
      </c>
    </row>
    <row r="17" spans="1:6">
      <c r="A17" t="s">
        <v>38</v>
      </c>
      <c r="B17" t="s">
        <v>29</v>
      </c>
      <c r="C17" s="2">
        <f>'Historical Data'!C5/'Historical Data'!B5-1</f>
        <v>8.6206896551724199E-2</v>
      </c>
      <c r="D17" s="2">
        <f>'Historical Data'!D5/'Historical Data'!C5-1</f>
        <v>9.5238095238095344E-2</v>
      </c>
      <c r="E17" s="2">
        <f>'Historical Data'!E5/'Historical Data'!D5-1</f>
        <v>0.10144927536231885</v>
      </c>
      <c r="F17" s="2">
        <f>'Historical Data'!F5/'Historical Data'!E5-1</f>
        <v>0.11842105263157898</v>
      </c>
    </row>
    <row r="18" spans="1:6">
      <c r="A18" t="s">
        <v>39</v>
      </c>
      <c r="B18" t="s">
        <v>29</v>
      </c>
      <c r="C18" s="2">
        <f>'Historical Data'!C10/'Historical Data'!B10-1</f>
        <v>0.11538461538461542</v>
      </c>
      <c r="D18" s="2">
        <f>'Historical Data'!D10/'Historical Data'!C10-1</f>
        <v>0.13793103448275867</v>
      </c>
      <c r="E18" s="2">
        <f>'Historical Data'!E10/'Historical Data'!D10-1</f>
        <v>0.1515151515151516</v>
      </c>
      <c r="F18" s="2">
        <f>'Historical Data'!F10/'Historical Data'!E10-1</f>
        <v>0.13157894736842102</v>
      </c>
    </row>
    <row r="19" spans="1:6">
      <c r="A19" t="s">
        <v>30</v>
      </c>
      <c r="B19" t="s">
        <v>29</v>
      </c>
      <c r="C19" s="2">
        <f>'Historical Data'!C14/'Historical Data'!B14-1</f>
        <v>0.12844036697247696</v>
      </c>
      <c r="D19" s="2">
        <f>'Historical Data'!D14/'Historical Data'!C14-1</f>
        <v>0.1447154471544716</v>
      </c>
      <c r="E19" s="2">
        <f>'Historical Data'!E14/'Historical Data'!D14-1</f>
        <v>0.16122159090909083</v>
      </c>
      <c r="F19" s="2">
        <f>'Historical Data'!F14/'Historical Data'!E14-1</f>
        <v>0.13883792048929666</v>
      </c>
    </row>
    <row r="22" spans="1:6" ht="15.6">
      <c r="A22" s="9" t="s">
        <v>40</v>
      </c>
    </row>
    <row r="23" spans="1:6">
      <c r="A23" t="s">
        <v>41</v>
      </c>
      <c r="B23">
        <v>2020</v>
      </c>
      <c r="C23">
        <v>2021</v>
      </c>
      <c r="D23">
        <v>2022</v>
      </c>
      <c r="E23">
        <v>2023</v>
      </c>
      <c r="F23">
        <v>2024</v>
      </c>
    </row>
    <row r="24" spans="1:6">
      <c r="A24" t="s">
        <v>42</v>
      </c>
      <c r="B24" t="s">
        <v>29</v>
      </c>
      <c r="C24" t="s">
        <v>29</v>
      </c>
      <c r="D24" t="s">
        <v>29</v>
      </c>
      <c r="E24" t="s">
        <v>29</v>
      </c>
      <c r="F24" t="s">
        <v>29</v>
      </c>
    </row>
    <row r="25" spans="1:6">
      <c r="A25" t="s">
        <v>43</v>
      </c>
      <c r="B25" t="s">
        <v>29</v>
      </c>
      <c r="C25" t="s">
        <v>29</v>
      </c>
      <c r="D25" t="s">
        <v>29</v>
      </c>
      <c r="E25" t="s">
        <v>29</v>
      </c>
      <c r="F25" t="s">
        <v>29</v>
      </c>
    </row>
    <row r="26" spans="1:6">
      <c r="A26" t="s">
        <v>44</v>
      </c>
      <c r="B26" s="2">
        <f>'Historical Data'!B10/'Historical Data'!B4</f>
        <v>0.30952380952380953</v>
      </c>
      <c r="C26" s="2">
        <f>'Historical Data'!C10/'Historical Data'!C4</f>
        <v>0.31521739130434784</v>
      </c>
      <c r="D26" s="2">
        <f>'Historical Data'!D10/'Historical Data'!D4</f>
        <v>0.3235294117647059</v>
      </c>
      <c r="E26" s="2">
        <f>'Historical Data'!E10/'Historical Data'!E4</f>
        <v>0.33333333333333331</v>
      </c>
      <c r="F26" s="2">
        <f>'Historical Data'!F10/'Historical Data'!F4</f>
        <v>0.3359375</v>
      </c>
    </row>
    <row r="27" spans="1:6">
      <c r="A27" t="s">
        <v>27</v>
      </c>
      <c r="B27" s="2">
        <f>'Historical Data'!B14/'Historical Data'!B4</f>
        <v>0.19464285714285715</v>
      </c>
      <c r="C27" s="2">
        <f>'Historical Data'!C14/'Historical Data'!C4</f>
        <v>0.20054347826086957</v>
      </c>
      <c r="D27" s="2">
        <f>'Historical Data'!D14/'Historical Data'!D4</f>
        <v>0.20705882352941177</v>
      </c>
      <c r="E27" s="2">
        <f>'Historical Data'!E14/'Historical Data'!E4</f>
        <v>0.21513157894736842</v>
      </c>
      <c r="F27" s="2">
        <f>'Historical Data'!F14/'Historical Data'!F4</f>
        <v>0.218203125</v>
      </c>
    </row>
    <row r="28" spans="1:6">
      <c r="A28" t="s">
        <v>45</v>
      </c>
      <c r="B28" s="2">
        <f>'Historical Data'!B14/'Historical Data'!B21</f>
        <v>0.18579545454545454</v>
      </c>
      <c r="C28" s="2">
        <f>'Historical Data'!C14/'Historical Data'!C21</f>
        <v>0.1902061855670103</v>
      </c>
      <c r="D28" s="2">
        <f>'Historical Data'!D14/'Historical Data'!D21</f>
        <v>0.19738317757009347</v>
      </c>
      <c r="E28" s="2">
        <f>'Historical Data'!E14/'Historical Data'!E21</f>
        <v>0.20609243697478991</v>
      </c>
      <c r="F28" s="2">
        <f>'Historical Data'!F14/'Historical Data'!F21</f>
        <v>0.21</v>
      </c>
    </row>
    <row r="29" spans="1:6">
      <c r="A29" t="s">
        <v>46</v>
      </c>
      <c r="B29" s="8">
        <f>'Historical Data'!B19/'Historical Data'!B21</f>
        <v>0.18181818181818182</v>
      </c>
      <c r="C29" s="8">
        <f>'Historical Data'!C19/'Historical Data'!C21</f>
        <v>0.17525773195876287</v>
      </c>
      <c r="D29" s="8">
        <f>'Historical Data'!D19/'Historical Data'!D21</f>
        <v>0.16822429906542055</v>
      </c>
      <c r="E29" s="8">
        <f>'Historical Data'!E19/'Historical Data'!E21</f>
        <v>0.15966386554621848</v>
      </c>
      <c r="F29" s="8">
        <f>'Historical Data'!F19/'Historical Data'!F21</f>
        <v>0.15037593984962405</v>
      </c>
    </row>
    <row r="30" spans="1:6">
      <c r="A30" t="s">
        <v>47</v>
      </c>
      <c r="B30" s="8">
        <f>'Historical Data'!B11/'Historical Data'!B7</f>
        <v>37.333333333333336</v>
      </c>
      <c r="C30" s="8">
        <f>'Historical Data'!C11/'Historical Data'!C7</f>
        <v>42</v>
      </c>
      <c r="D30" s="8">
        <f>'Historical Data'!D11/'Historical Data'!D7</f>
        <v>45</v>
      </c>
      <c r="E30" s="8">
        <f>'Historical Data'!E11/'Historical Data'!E7</f>
        <v>47.714285714285715</v>
      </c>
      <c r="F30" s="8">
        <f>'Historical Data'!F11/'Historical Data'!F7</f>
        <v>50</v>
      </c>
    </row>
    <row r="33" spans="1:6" ht="15.6">
      <c r="A33" s="9" t="s">
        <v>48</v>
      </c>
    </row>
    <row r="34" spans="1:6">
      <c r="A34" t="s">
        <v>1</v>
      </c>
      <c r="B34">
        <v>2020</v>
      </c>
      <c r="C34">
        <v>2021</v>
      </c>
      <c r="D34">
        <v>2022</v>
      </c>
      <c r="E34">
        <v>2023</v>
      </c>
      <c r="F34">
        <v>2024</v>
      </c>
    </row>
    <row r="35" spans="1:6">
      <c r="A35" t="s">
        <v>49</v>
      </c>
      <c r="B35" s="8">
        <f>'Historical Data'!B4/'Historical Data'!B4*100</f>
        <v>100</v>
      </c>
      <c r="C35" s="8">
        <f>'Historical Data'!C4/'Historical Data'!$B$4*100</f>
        <v>109.52380952380953</v>
      </c>
      <c r="D35" s="8">
        <f>'Historical Data'!D4/'Historical Data'!C4*100</f>
        <v>110.86956521739131</v>
      </c>
      <c r="E35" s="8">
        <f>'Historical Data'!E4/'Historical Data'!D4*100</f>
        <v>111.76470588235294</v>
      </c>
      <c r="F35" s="8">
        <f>'Historical Data'!F4/'Historical Data'!E4*100</f>
        <v>112.28070175438596</v>
      </c>
    </row>
    <row r="36" spans="1:6">
      <c r="A36" t="s">
        <v>50</v>
      </c>
      <c r="B36">
        <f>'Historical Data'!B14/'Historical Data'!B14*100</f>
        <v>100</v>
      </c>
      <c r="C36" s="8">
        <f>'Historical Data'!C14/'Historical Data'!$B$14*100</f>
        <v>112.8440366972477</v>
      </c>
      <c r="D36" s="8">
        <f>'Historical Data'!D14/'Historical Data'!$B$14*100</f>
        <v>129.17431192660553</v>
      </c>
      <c r="E36" s="8">
        <f>'Historical Data'!E14/'Historical Data'!$B$14*100</f>
        <v>150</v>
      </c>
      <c r="F36" s="8">
        <f>'Historical Data'!F14/'Historical Data'!$B$14*100</f>
        <v>170.82568807339447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6C22-AE34-462C-BAA6-94DFC720346D}">
  <dimension ref="A1:I40"/>
  <sheetViews>
    <sheetView topLeftCell="A24" workbookViewId="0">
      <selection activeCell="F27" sqref="F27"/>
    </sheetView>
  </sheetViews>
  <sheetFormatPr defaultRowHeight="14.4"/>
  <cols>
    <col min="1" max="1" width="24.5546875" customWidth="1"/>
    <col min="2" max="6" width="11.109375" bestFit="1" customWidth="1"/>
  </cols>
  <sheetData>
    <row r="1" spans="1:6" ht="15.6">
      <c r="A1" s="9" t="s">
        <v>51</v>
      </c>
    </row>
    <row r="3" spans="1:6">
      <c r="A3" t="s">
        <v>1</v>
      </c>
      <c r="B3">
        <v>2020</v>
      </c>
      <c r="C3">
        <v>2021</v>
      </c>
      <c r="D3">
        <v>2022</v>
      </c>
      <c r="E3">
        <v>2023</v>
      </c>
      <c r="F3">
        <v>2024</v>
      </c>
    </row>
    <row r="5" spans="1:6">
      <c r="A5" s="10" t="s">
        <v>52</v>
      </c>
    </row>
    <row r="6" spans="1:6">
      <c r="A6" t="s">
        <v>2</v>
      </c>
      <c r="B6" s="4">
        <f>'Historical Data'!B4</f>
        <v>42000</v>
      </c>
      <c r="C6" s="4">
        <f>'Historical Data'!C4</f>
        <v>46000</v>
      </c>
      <c r="D6" s="4">
        <f>'Historical Data'!D4</f>
        <v>51000</v>
      </c>
      <c r="E6" s="4">
        <f>'Historical Data'!E4</f>
        <v>57000</v>
      </c>
      <c r="F6" s="4">
        <f>'Historical Data'!F4</f>
        <v>64000</v>
      </c>
    </row>
    <row r="7" spans="1:6">
      <c r="A7" t="s">
        <v>35</v>
      </c>
      <c r="B7" s="4">
        <f>'Historical Data'!B10</f>
        <v>13000</v>
      </c>
      <c r="C7" s="4">
        <f>'Historical Data'!C10</f>
        <v>14500</v>
      </c>
      <c r="D7" s="4">
        <f>'Historical Data'!D10</f>
        <v>16500</v>
      </c>
      <c r="E7" s="4">
        <f>'Historical Data'!E10</f>
        <v>19000</v>
      </c>
      <c r="F7" s="4">
        <f>'Historical Data'!F10</f>
        <v>21500</v>
      </c>
    </row>
    <row r="8" spans="1:6">
      <c r="A8" t="s">
        <v>34</v>
      </c>
      <c r="B8" s="4">
        <f>'Historical Data'!B6</f>
        <v>1800</v>
      </c>
      <c r="C8" s="4">
        <f>'Historical Data'!C6</f>
        <v>1900</v>
      </c>
      <c r="D8" s="4">
        <f>'Historical Data'!D6</f>
        <v>2100</v>
      </c>
      <c r="E8" s="4">
        <f>'Historical Data'!E6</f>
        <v>2300</v>
      </c>
      <c r="F8" s="4">
        <f>'Historical Data'!F6</f>
        <v>2500</v>
      </c>
    </row>
    <row r="9" spans="1:6">
      <c r="A9" t="s">
        <v>35</v>
      </c>
      <c r="B9" s="4">
        <f>'Historical Data'!B11</f>
        <v>11200</v>
      </c>
      <c r="C9" s="4">
        <f>'Historical Data'!C11</f>
        <v>12600</v>
      </c>
      <c r="D9" s="4">
        <f>'Historical Data'!D11</f>
        <v>14400</v>
      </c>
      <c r="E9" s="4">
        <f>'Historical Data'!E11</f>
        <v>16700</v>
      </c>
      <c r="F9" s="4">
        <f>'Historical Data'!F11</f>
        <v>19000</v>
      </c>
    </row>
    <row r="10" spans="1:6">
      <c r="A10" t="s">
        <v>5</v>
      </c>
      <c r="B10" s="4">
        <f>'Historical Data'!B7</f>
        <v>300</v>
      </c>
      <c r="C10" s="4">
        <f>'Historical Data'!C7</f>
        <v>300</v>
      </c>
      <c r="D10" s="4">
        <f>'Historical Data'!D7</f>
        <v>320</v>
      </c>
      <c r="E10" s="4">
        <f>'Historical Data'!E7</f>
        <v>350</v>
      </c>
      <c r="F10" s="4">
        <f>'Historical Data'!F7</f>
        <v>380</v>
      </c>
    </row>
    <row r="11" spans="1:6">
      <c r="A11" t="s">
        <v>53</v>
      </c>
      <c r="B11" s="4">
        <f>'Historical Data'!B12</f>
        <v>10900</v>
      </c>
      <c r="C11" s="4">
        <f>'Historical Data'!C12</f>
        <v>12300</v>
      </c>
      <c r="D11" s="4">
        <f>'Historical Data'!D12</f>
        <v>14080</v>
      </c>
      <c r="E11" s="4">
        <f>'Historical Data'!E12</f>
        <v>16350</v>
      </c>
      <c r="F11" s="4">
        <f>'Historical Data'!F12</f>
        <v>18620</v>
      </c>
    </row>
    <row r="12" spans="1:6">
      <c r="A12" t="s">
        <v>54</v>
      </c>
      <c r="B12" s="4">
        <f>'Historical Data'!B13</f>
        <v>2725</v>
      </c>
      <c r="C12" s="4">
        <f>'Historical Data'!C13</f>
        <v>3075</v>
      </c>
      <c r="D12" s="4">
        <f>'Historical Data'!D13</f>
        <v>3520</v>
      </c>
      <c r="E12" s="4">
        <f>'Historical Data'!E13</f>
        <v>4087.5</v>
      </c>
      <c r="F12" s="4">
        <f>'Historical Data'!F13</f>
        <v>4655</v>
      </c>
    </row>
    <row r="13" spans="1:6">
      <c r="A13" t="s">
        <v>36</v>
      </c>
      <c r="B13" s="4">
        <f>'Historical Data'!B14</f>
        <v>8175</v>
      </c>
      <c r="C13" s="4">
        <f>'Historical Data'!C14</f>
        <v>9225</v>
      </c>
      <c r="D13" s="4">
        <f>'Historical Data'!D14</f>
        <v>10560</v>
      </c>
      <c r="E13" s="4">
        <f>'Historical Data'!E14</f>
        <v>12262.5</v>
      </c>
      <c r="F13" s="4">
        <f>'Historical Data'!F14</f>
        <v>13965</v>
      </c>
    </row>
    <row r="15" spans="1:6">
      <c r="A15" s="5" t="s">
        <v>12</v>
      </c>
    </row>
    <row r="16" spans="1:6">
      <c r="A16" t="s">
        <v>1</v>
      </c>
      <c r="B16">
        <v>2020</v>
      </c>
      <c r="C16">
        <v>2021</v>
      </c>
      <c r="D16">
        <v>2022</v>
      </c>
      <c r="E16">
        <v>2023</v>
      </c>
      <c r="F16">
        <v>2024</v>
      </c>
    </row>
    <row r="17" spans="1:9">
      <c r="A17" t="s">
        <v>55</v>
      </c>
      <c r="B17" s="4">
        <f>'Historical Data'!B18</f>
        <v>55000</v>
      </c>
      <c r="C17" s="4">
        <f>'Historical Data'!C18</f>
        <v>60000</v>
      </c>
      <c r="D17" s="4">
        <f>'Historical Data'!D18</f>
        <v>66000</v>
      </c>
      <c r="E17" s="4">
        <f>'Historical Data'!E18</f>
        <v>73000</v>
      </c>
      <c r="F17" s="4">
        <f>'Historical Data'!F18</f>
        <v>81000</v>
      </c>
    </row>
    <row r="18" spans="1:9">
      <c r="A18" t="s">
        <v>56</v>
      </c>
      <c r="B18" s="4">
        <f>'Historical Data'!B19</f>
        <v>8000</v>
      </c>
      <c r="C18" s="4">
        <f>'Historical Data'!C19</f>
        <v>8500</v>
      </c>
      <c r="D18" s="4">
        <f>'Historical Data'!D19</f>
        <v>9000</v>
      </c>
      <c r="E18" s="4">
        <f>'Historical Data'!E19</f>
        <v>9500</v>
      </c>
      <c r="F18" s="4">
        <f>'Historical Data'!F19</f>
        <v>10000</v>
      </c>
    </row>
    <row r="19" spans="1:9">
      <c r="A19" t="s">
        <v>16</v>
      </c>
      <c r="B19" s="4">
        <f>'Historical Data'!B20</f>
        <v>6000</v>
      </c>
      <c r="C19" s="4">
        <f>'Historical Data'!C20</f>
        <v>7200</v>
      </c>
      <c r="D19" s="4">
        <f>'Historical Data'!D20</f>
        <v>8500</v>
      </c>
      <c r="E19" s="4">
        <f>'Historical Data'!E20</f>
        <v>10000</v>
      </c>
      <c r="F19" s="4">
        <f>'Historical Data'!F20</f>
        <v>11800</v>
      </c>
    </row>
    <row r="20" spans="1:9">
      <c r="A20" t="s">
        <v>17</v>
      </c>
      <c r="B20" s="4">
        <f>'Historical Data'!B21</f>
        <v>44000</v>
      </c>
      <c r="C20" s="4">
        <f>'Historical Data'!C21</f>
        <v>48500</v>
      </c>
      <c r="D20" s="4">
        <f>'Historical Data'!D21</f>
        <v>53500</v>
      </c>
      <c r="E20" s="4">
        <f>'Historical Data'!E21</f>
        <v>59500</v>
      </c>
      <c r="F20" s="4">
        <f>'Historical Data'!F21</f>
        <v>66500</v>
      </c>
      <c r="G20" s="4"/>
    </row>
    <row r="22" spans="1:9">
      <c r="A22" s="5" t="s">
        <v>57</v>
      </c>
    </row>
    <row r="23" spans="1:9">
      <c r="A23" t="s">
        <v>1</v>
      </c>
      <c r="B23">
        <v>2020</v>
      </c>
      <c r="C23">
        <v>2021</v>
      </c>
      <c r="D23">
        <v>2022</v>
      </c>
      <c r="E23">
        <v>2023</v>
      </c>
      <c r="F23">
        <v>2024</v>
      </c>
    </row>
    <row r="24" spans="1:9">
      <c r="A24" t="s">
        <v>58</v>
      </c>
      <c r="B24" t="s">
        <v>29</v>
      </c>
      <c r="C24">
        <f>0</f>
        <v>0</v>
      </c>
      <c r="D24">
        <f>C27</f>
        <v>9225</v>
      </c>
      <c r="E24">
        <f t="shared" ref="E24:F24" si="0">D27</f>
        <v>19785</v>
      </c>
      <c r="F24">
        <f t="shared" si="0"/>
        <v>32047.5</v>
      </c>
      <c r="I24" t="s">
        <v>72</v>
      </c>
    </row>
    <row r="25" spans="1:9">
      <c r="A25" t="s">
        <v>36</v>
      </c>
      <c r="B25" s="4">
        <f>B13</f>
        <v>8175</v>
      </c>
      <c r="C25" s="4">
        <f t="shared" ref="C25:F25" si="1">C13</f>
        <v>9225</v>
      </c>
      <c r="D25" s="4">
        <f t="shared" si="1"/>
        <v>10560</v>
      </c>
      <c r="E25" s="4">
        <f t="shared" si="1"/>
        <v>12262.5</v>
      </c>
      <c r="F25" s="4">
        <f t="shared" si="1"/>
        <v>13965</v>
      </c>
    </row>
    <row r="26" spans="1:9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9">
      <c r="A27" t="s">
        <v>60</v>
      </c>
      <c r="B27" t="s">
        <v>29</v>
      </c>
      <c r="C27" s="4">
        <f>C24+C25-C26</f>
        <v>9225</v>
      </c>
      <c r="D27" s="4">
        <f t="shared" ref="D27:F27" si="2">D24+D25-D26</f>
        <v>19785</v>
      </c>
      <c r="E27" s="4">
        <f t="shared" si="2"/>
        <v>32047.5</v>
      </c>
      <c r="F27" s="4">
        <f t="shared" si="2"/>
        <v>46012.5</v>
      </c>
      <c r="I27" t="s">
        <v>71</v>
      </c>
    </row>
    <row r="29" spans="1:9">
      <c r="A29" s="5" t="s">
        <v>73</v>
      </c>
    </row>
    <row r="30" spans="1:9">
      <c r="A30" t="s">
        <v>1</v>
      </c>
      <c r="B30">
        <v>2020</v>
      </c>
      <c r="C30">
        <v>2021</v>
      </c>
      <c r="D30">
        <v>2022</v>
      </c>
      <c r="E30">
        <v>2023</v>
      </c>
      <c r="F30">
        <v>2024</v>
      </c>
    </row>
    <row r="31" spans="1:9">
      <c r="A31" t="s">
        <v>74</v>
      </c>
      <c r="B31" s="4">
        <f>B13</f>
        <v>8175</v>
      </c>
      <c r="C31" s="4">
        <f t="shared" ref="C31:F31" si="3">C13</f>
        <v>9225</v>
      </c>
      <c r="D31" s="4">
        <f t="shared" si="3"/>
        <v>10560</v>
      </c>
      <c r="E31" s="4">
        <f t="shared" si="3"/>
        <v>12262.5</v>
      </c>
      <c r="F31" s="4">
        <f t="shared" si="3"/>
        <v>13965</v>
      </c>
    </row>
    <row r="32" spans="1:9">
      <c r="A32" t="s">
        <v>34</v>
      </c>
      <c r="B32" s="4">
        <f>B8</f>
        <v>1800</v>
      </c>
      <c r="C32" s="4">
        <f t="shared" ref="C32:F32" si="4">C8</f>
        <v>1900</v>
      </c>
      <c r="D32" s="4">
        <f t="shared" si="4"/>
        <v>2100</v>
      </c>
      <c r="E32" s="4">
        <f t="shared" si="4"/>
        <v>2300</v>
      </c>
      <c r="F32" s="4">
        <f t="shared" si="4"/>
        <v>2500</v>
      </c>
    </row>
    <row r="33" spans="1:9">
      <c r="A33" t="s">
        <v>75</v>
      </c>
      <c r="B33" s="4">
        <f>B31+B32</f>
        <v>9975</v>
      </c>
      <c r="C33" s="4">
        <f t="shared" ref="C33:F33" si="5">C31+C32</f>
        <v>11125</v>
      </c>
      <c r="D33" s="4">
        <f t="shared" si="5"/>
        <v>12660</v>
      </c>
      <c r="E33" s="4">
        <f t="shared" si="5"/>
        <v>14562.5</v>
      </c>
      <c r="F33" s="4">
        <f t="shared" si="5"/>
        <v>16465</v>
      </c>
    </row>
    <row r="34" spans="1:9">
      <c r="A34" t="s">
        <v>76</v>
      </c>
      <c r="B34" t="s">
        <v>29</v>
      </c>
      <c r="C34" t="s">
        <v>29</v>
      </c>
      <c r="D34" t="s">
        <v>29</v>
      </c>
      <c r="E34" t="s">
        <v>29</v>
      </c>
      <c r="F34" t="s">
        <v>29</v>
      </c>
    </row>
    <row r="35" spans="1:9">
      <c r="A35" t="s">
        <v>77</v>
      </c>
      <c r="B35" t="s">
        <v>29</v>
      </c>
      <c r="C35" t="s">
        <v>29</v>
      </c>
      <c r="D35" t="s">
        <v>29</v>
      </c>
      <c r="E35" t="s">
        <v>29</v>
      </c>
      <c r="F35" t="s">
        <v>29</v>
      </c>
      <c r="I35" t="s">
        <v>83</v>
      </c>
    </row>
    <row r="36" spans="1:9">
      <c r="A36" t="s">
        <v>78</v>
      </c>
      <c r="B36" t="s">
        <v>29</v>
      </c>
      <c r="C36" s="4">
        <f>'Historical Data'!C19-'Historical Data'!B19</f>
        <v>500</v>
      </c>
      <c r="D36" s="4">
        <f>'Historical Data'!D19-'Historical Data'!C19</f>
        <v>500</v>
      </c>
      <c r="E36" s="4">
        <f>'Historical Data'!E19-'Historical Data'!D19</f>
        <v>500</v>
      </c>
      <c r="F36" s="4">
        <f>'Historical Data'!F19-'Historical Data'!E19</f>
        <v>500</v>
      </c>
    </row>
    <row r="37" spans="1:9">
      <c r="A37" t="s">
        <v>79</v>
      </c>
      <c r="B37" t="s">
        <v>29</v>
      </c>
      <c r="C37" t="s">
        <v>29</v>
      </c>
      <c r="D37" t="s">
        <v>29</v>
      </c>
      <c r="E37" t="s">
        <v>29</v>
      </c>
      <c r="F37" t="s">
        <v>29</v>
      </c>
    </row>
    <row r="38" spans="1:9">
      <c r="A38" t="s">
        <v>80</v>
      </c>
      <c r="B38" t="s">
        <v>29</v>
      </c>
      <c r="C38" t="s">
        <v>29</v>
      </c>
      <c r="D38" t="s">
        <v>29</v>
      </c>
      <c r="E38" t="s">
        <v>29</v>
      </c>
      <c r="F38" t="s">
        <v>29</v>
      </c>
    </row>
    <row r="39" spans="1:9">
      <c r="A39" t="s">
        <v>81</v>
      </c>
      <c r="B39" s="4">
        <f>'Historical Data'!B20</f>
        <v>6000</v>
      </c>
      <c r="C39" s="4">
        <f>'Historical Data'!C20</f>
        <v>7200</v>
      </c>
      <c r="D39" s="4">
        <f>'Historical Data'!D20</f>
        <v>8500</v>
      </c>
      <c r="E39" s="4">
        <f>'Historical Data'!E20</f>
        <v>10000</v>
      </c>
      <c r="F39" s="4">
        <f>'Historical Data'!F20</f>
        <v>11800</v>
      </c>
    </row>
    <row r="40" spans="1:9">
      <c r="A40" t="s">
        <v>82</v>
      </c>
      <c r="B40" s="4">
        <f>'Historical Data'!B20</f>
        <v>6000</v>
      </c>
      <c r="C40" s="4">
        <f>'Historical Data'!C20</f>
        <v>7200</v>
      </c>
      <c r="D40" s="4">
        <f>'Historical Data'!D20</f>
        <v>8500</v>
      </c>
      <c r="E40" s="4">
        <f>'Historical Data'!E20</f>
        <v>10000</v>
      </c>
      <c r="F40" s="4">
        <f>'Historical Data'!F20</f>
        <v>11800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65C2-9165-4FBE-9094-31C607C42C2D}">
  <dimension ref="A1:N103"/>
  <sheetViews>
    <sheetView tabSelected="1" topLeftCell="A40" zoomScale="105" zoomScaleNormal="89" workbookViewId="0">
      <selection activeCell="E78" sqref="E78:E80"/>
    </sheetView>
  </sheetViews>
  <sheetFormatPr defaultRowHeight="14.4"/>
  <cols>
    <col min="1" max="1" width="35.77734375" bestFit="1" customWidth="1"/>
    <col min="2" max="6" width="16.33203125" bestFit="1" customWidth="1"/>
    <col min="7" max="7" width="13.88671875" bestFit="1" customWidth="1"/>
    <col min="11" max="11" width="12.21875" bestFit="1" customWidth="1"/>
    <col min="14" max="14" width="12.21875" bestFit="1" customWidth="1"/>
  </cols>
  <sheetData>
    <row r="1" spans="1:10" ht="18">
      <c r="A1" s="6" t="s">
        <v>61</v>
      </c>
    </row>
    <row r="3" spans="1:10">
      <c r="A3" t="s">
        <v>13</v>
      </c>
      <c r="B3">
        <v>2024</v>
      </c>
      <c r="C3">
        <v>2025</v>
      </c>
      <c r="D3">
        <v>2026</v>
      </c>
      <c r="E3">
        <v>2027</v>
      </c>
      <c r="F3">
        <v>2028</v>
      </c>
      <c r="G3">
        <v>2029</v>
      </c>
      <c r="J3" t="s">
        <v>62</v>
      </c>
    </row>
    <row r="4" spans="1:10">
      <c r="J4" t="s">
        <v>63</v>
      </c>
    </row>
    <row r="5" spans="1:10">
      <c r="A5" t="s">
        <v>64</v>
      </c>
      <c r="B5" s="8" t="s">
        <v>29</v>
      </c>
      <c r="C5" s="1">
        <f>'Historical Data'!B29</f>
        <v>7.0000000000000007E-2</v>
      </c>
      <c r="D5" s="1">
        <f>'Historical Data'!B29</f>
        <v>7.0000000000000007E-2</v>
      </c>
      <c r="E5" s="1">
        <f>'Historical Data'!B29</f>
        <v>7.0000000000000007E-2</v>
      </c>
      <c r="F5" s="1">
        <f>'Historical Data'!B29</f>
        <v>7.0000000000000007E-2</v>
      </c>
      <c r="G5" s="1"/>
    </row>
    <row r="6" spans="1:10">
      <c r="A6" t="s">
        <v>65</v>
      </c>
      <c r="B6" s="4">
        <f>'Historical Data'!F4</f>
        <v>64000</v>
      </c>
      <c r="C6" s="4">
        <f>B6*(1+C5)</f>
        <v>68480</v>
      </c>
      <c r="D6" s="4">
        <f t="shared" ref="D6:F6" si="0">C6*(1+D5)</f>
        <v>73273.600000000006</v>
      </c>
      <c r="E6" s="4">
        <f t="shared" si="0"/>
        <v>78402.752000000008</v>
      </c>
      <c r="F6" s="4">
        <f t="shared" si="0"/>
        <v>83890.944640000016</v>
      </c>
      <c r="G6" s="4">
        <v>89763.31</v>
      </c>
    </row>
    <row r="7" spans="1:10">
      <c r="G7" s="4"/>
    </row>
    <row r="8" spans="1:10">
      <c r="A8" t="s">
        <v>66</v>
      </c>
      <c r="B8" s="7">
        <f>'Historical Data'!F5/'Historical Data'!F4</f>
        <v>0.6640625</v>
      </c>
      <c r="C8" s="7">
        <f>'Historical Data'!F5/'Historical Data'!F4</f>
        <v>0.6640625</v>
      </c>
      <c r="D8" s="2">
        <f>'Historical Data'!F5/'Historical Data'!F4</f>
        <v>0.6640625</v>
      </c>
      <c r="E8" s="2">
        <f>'Historical Data'!F5/'Historical Data'!F4</f>
        <v>0.6640625</v>
      </c>
      <c r="F8" s="2">
        <f>'Historical Data'!F5/'Historical Data'!F4</f>
        <v>0.6640625</v>
      </c>
      <c r="G8" s="4"/>
      <c r="J8" t="s">
        <v>67</v>
      </c>
    </row>
    <row r="9" spans="1:10">
      <c r="A9" t="s">
        <v>33</v>
      </c>
      <c r="B9" s="4">
        <f>B6*B8</f>
        <v>42500</v>
      </c>
      <c r="C9" s="4">
        <f t="shared" ref="C9:F9" si="1">C6*C8</f>
        <v>45475</v>
      </c>
      <c r="D9" s="4">
        <f t="shared" si="1"/>
        <v>48658.250000000007</v>
      </c>
      <c r="E9" s="4">
        <f t="shared" si="1"/>
        <v>52064.327500000007</v>
      </c>
      <c r="F9" s="4">
        <f t="shared" si="1"/>
        <v>55708.830425000007</v>
      </c>
      <c r="G9" s="4">
        <v>59605.16</v>
      </c>
      <c r="J9" t="s">
        <v>68</v>
      </c>
    </row>
    <row r="10" spans="1:10">
      <c r="G10" s="4"/>
    </row>
    <row r="11" spans="1:10">
      <c r="A11" t="s">
        <v>35</v>
      </c>
      <c r="B11" s="4">
        <f>B6-B9</f>
        <v>21500</v>
      </c>
      <c r="C11" s="4">
        <f t="shared" ref="C11:F11" si="2">C6-C9</f>
        <v>23005</v>
      </c>
      <c r="D11" s="4">
        <f t="shared" si="2"/>
        <v>24615.35</v>
      </c>
      <c r="E11" s="4">
        <f t="shared" si="2"/>
        <v>26338.424500000001</v>
      </c>
      <c r="F11" s="4">
        <f t="shared" si="2"/>
        <v>28182.114215000009</v>
      </c>
      <c r="G11" s="4">
        <f>G6-G9</f>
        <v>30158.149999999994</v>
      </c>
      <c r="J11" t="s">
        <v>69</v>
      </c>
    </row>
    <row r="12" spans="1:10">
      <c r="A12" t="s">
        <v>25</v>
      </c>
      <c r="B12" s="2">
        <f>B11/B6</f>
        <v>0.3359375</v>
      </c>
      <c r="C12" s="2">
        <f t="shared" ref="C12:F12" si="3">C11/C6</f>
        <v>0.3359375</v>
      </c>
      <c r="D12" s="2">
        <f t="shared" si="3"/>
        <v>0.33593749999999994</v>
      </c>
      <c r="E12" s="2">
        <f t="shared" si="3"/>
        <v>0.3359375</v>
      </c>
      <c r="F12" s="2">
        <f t="shared" si="3"/>
        <v>0.33593750000000006</v>
      </c>
      <c r="G12" s="2">
        <v>0.33589999999999998</v>
      </c>
      <c r="J12" t="s">
        <v>70</v>
      </c>
    </row>
    <row r="13" spans="1:10">
      <c r="G13" s="4"/>
    </row>
    <row r="14" spans="1:10">
      <c r="A14" t="s">
        <v>34</v>
      </c>
      <c r="B14" s="4">
        <f>B6*(2500/64000)</f>
        <v>2500</v>
      </c>
      <c r="C14" s="4">
        <f t="shared" ref="C14:E14" si="4">C6*(2500/64000)</f>
        <v>2675</v>
      </c>
      <c r="D14" s="4">
        <f t="shared" si="4"/>
        <v>2862.25</v>
      </c>
      <c r="E14" s="4">
        <f t="shared" si="4"/>
        <v>3062.6075000000001</v>
      </c>
      <c r="F14" s="4">
        <f>F6*(2500/64000)</f>
        <v>3276.9900250000005</v>
      </c>
      <c r="G14" s="4">
        <v>3506.44</v>
      </c>
    </row>
    <row r="15" spans="1:10">
      <c r="A15" t="s">
        <v>84</v>
      </c>
      <c r="B15" s="4">
        <f>B11-B14</f>
        <v>19000</v>
      </c>
      <c r="C15" s="4">
        <f t="shared" ref="C15:F15" si="5">C11-C14</f>
        <v>20330</v>
      </c>
      <c r="D15" s="4">
        <f t="shared" si="5"/>
        <v>21753.1</v>
      </c>
      <c r="E15" s="4">
        <f t="shared" si="5"/>
        <v>23275.817000000003</v>
      </c>
      <c r="F15" s="4">
        <f t="shared" si="5"/>
        <v>24905.12419000001</v>
      </c>
      <c r="G15" s="12">
        <v>26653.19</v>
      </c>
    </row>
    <row r="16" spans="1:10">
      <c r="A16" t="s">
        <v>5</v>
      </c>
      <c r="B16" s="4">
        <f>'Historical Data'!F7</f>
        <v>380</v>
      </c>
      <c r="C16" s="4">
        <v>380</v>
      </c>
      <c r="D16" s="4">
        <v>380</v>
      </c>
      <c r="E16" s="4">
        <v>380</v>
      </c>
      <c r="F16" s="4">
        <v>380</v>
      </c>
      <c r="G16" s="4">
        <v>380</v>
      </c>
    </row>
    <row r="17" spans="1:14">
      <c r="A17" t="s">
        <v>53</v>
      </c>
      <c r="B17" s="4">
        <f>B15-B16</f>
        <v>18620</v>
      </c>
      <c r="C17" s="4">
        <f t="shared" ref="C17:F17" si="6">C15-C16</f>
        <v>19950</v>
      </c>
      <c r="D17" s="4">
        <f t="shared" si="6"/>
        <v>21373.1</v>
      </c>
      <c r="E17" s="4">
        <f t="shared" si="6"/>
        <v>22895.817000000003</v>
      </c>
      <c r="F17" s="4">
        <f t="shared" si="6"/>
        <v>24525.12419000001</v>
      </c>
      <c r="G17" s="4">
        <v>26273.19</v>
      </c>
    </row>
    <row r="18" spans="1:14">
      <c r="A18" t="s">
        <v>54</v>
      </c>
      <c r="B18" s="4">
        <f>B17*'Historical Data'!$F$8</f>
        <v>4655</v>
      </c>
      <c r="C18" s="4">
        <f>C17*'Historical Data'!$F$8</f>
        <v>4987.5</v>
      </c>
      <c r="D18" s="4">
        <f>D17*'Historical Data'!$F$8</f>
        <v>5343.2749999999996</v>
      </c>
      <c r="E18" s="4">
        <f>E17*'Historical Data'!$F$8</f>
        <v>5723.9542500000007</v>
      </c>
      <c r="F18" s="4">
        <f>F17*'Historical Data'!$F$8</f>
        <v>6131.2810475000024</v>
      </c>
      <c r="G18" s="4">
        <v>6568.3</v>
      </c>
    </row>
    <row r="19" spans="1:14">
      <c r="A19" t="s">
        <v>85</v>
      </c>
      <c r="B19" s="4">
        <f>B17-B18</f>
        <v>13965</v>
      </c>
      <c r="C19" s="4">
        <f t="shared" ref="C19:F19" si="7">C17-C18</f>
        <v>14962.5</v>
      </c>
      <c r="D19" s="4">
        <f t="shared" si="7"/>
        <v>16029.824999999999</v>
      </c>
      <c r="E19" s="4">
        <f t="shared" si="7"/>
        <v>17171.86275</v>
      </c>
      <c r="F19" s="4">
        <f t="shared" si="7"/>
        <v>18393.843142500009</v>
      </c>
      <c r="G19" s="4">
        <v>19704.89</v>
      </c>
    </row>
    <row r="20" spans="1:14">
      <c r="A20" t="s">
        <v>86</v>
      </c>
      <c r="B20" s="4">
        <f>B19+B14</f>
        <v>16465</v>
      </c>
      <c r="C20" s="4">
        <f t="shared" ref="C20:F20" si="8">C19+C14</f>
        <v>17637.5</v>
      </c>
      <c r="D20" s="4">
        <f t="shared" si="8"/>
        <v>18892.074999999997</v>
      </c>
      <c r="E20" s="4">
        <f t="shared" si="8"/>
        <v>20234.470249999998</v>
      </c>
      <c r="F20" s="4">
        <f t="shared" si="8"/>
        <v>21670.833167500008</v>
      </c>
      <c r="G20" s="4">
        <v>23211.33</v>
      </c>
    </row>
    <row r="21" spans="1:14">
      <c r="G21" s="4"/>
    </row>
    <row r="22" spans="1:14">
      <c r="A22" s="5" t="s">
        <v>87</v>
      </c>
      <c r="B22" s="4">
        <f>B15*(1-'Historical Data'!$F$8)</f>
        <v>14250</v>
      </c>
      <c r="C22" s="4">
        <f>C15*(1-'Historical Data'!$F$8)</f>
        <v>15247.5</v>
      </c>
      <c r="D22" s="4">
        <f>D15*(1-'Historical Data'!$F$8)</f>
        <v>16314.824999999999</v>
      </c>
      <c r="E22" s="4">
        <f>E15*(1-'Historical Data'!$F$8)</f>
        <v>17456.86275</v>
      </c>
      <c r="F22" s="4">
        <f>F15*(1-'Historical Data'!$F$8)</f>
        <v>18678.843142500009</v>
      </c>
      <c r="G22" s="4">
        <v>19989.89</v>
      </c>
      <c r="J22" t="s">
        <v>88</v>
      </c>
    </row>
    <row r="23" spans="1:14">
      <c r="A23" t="s">
        <v>89</v>
      </c>
      <c r="B23" s="4">
        <f>B22+B14</f>
        <v>16750</v>
      </c>
      <c r="C23" s="4">
        <f t="shared" ref="C23:F23" si="9">C22+C14</f>
        <v>17922.5</v>
      </c>
      <c r="D23" s="4">
        <f t="shared" si="9"/>
        <v>19177.074999999997</v>
      </c>
      <c r="E23" s="4">
        <f t="shared" si="9"/>
        <v>20519.470249999998</v>
      </c>
      <c r="F23" s="4">
        <f t="shared" si="9"/>
        <v>21955.833167500008</v>
      </c>
      <c r="G23" s="13">
        <v>23496.33</v>
      </c>
      <c r="J23" t="s">
        <v>90</v>
      </c>
    </row>
    <row r="24" spans="1:14">
      <c r="B24" s="4"/>
      <c r="C24" s="4"/>
      <c r="D24" s="4"/>
      <c r="E24" s="4"/>
      <c r="F24" s="4"/>
    </row>
    <row r="25" spans="1:14">
      <c r="A25" t="s">
        <v>91</v>
      </c>
      <c r="B25" s="7">
        <f>'Historical Data'!B24+'Historical Data'!B26*('Historical Data'!B25-'Historical Data'!B24)</f>
        <v>0.11099999999999999</v>
      </c>
      <c r="C25" s="7">
        <f>'Historical Data'!B24+'Historical Data'!B26*('Historical Data'!B25-'Historical Data'!B24)</f>
        <v>0.11099999999999999</v>
      </c>
      <c r="D25" s="7">
        <f>'Historical Data'!B24+'Historical Data'!B26*('Historical Data'!B25-'Historical Data'!B24)</f>
        <v>0.11099999999999999</v>
      </c>
      <c r="E25" s="7">
        <f>'Historical Data'!B24+'Historical Data'!B26*('Historical Data'!B25-'Historical Data'!B24)</f>
        <v>0.11099999999999999</v>
      </c>
      <c r="F25" s="7">
        <f>'Historical Data'!B24+'Historical Data'!B26*('Historical Data'!B25-'Historical Data'!B24)</f>
        <v>0.11099999999999999</v>
      </c>
      <c r="G25" s="2">
        <f>'Historical Data'!B24+'Historical Data'!B26*('Historical Data'!B25-'Historical Data'!B24)</f>
        <v>0.11099999999999999</v>
      </c>
      <c r="J25" t="s">
        <v>92</v>
      </c>
    </row>
    <row r="26" spans="1:14">
      <c r="A26" t="s">
        <v>93</v>
      </c>
      <c r="B26" s="7">
        <f>B25*(66500/(66500+10000))+7%*(1-25%)*(10000/(66500+10000))</f>
        <v>0.10335294117647058</v>
      </c>
      <c r="C26" s="7">
        <f t="shared" ref="C26:E26" si="10">C25*(66500/(66500+10000))+7%*(1-25%)*(10000/(66500+10000))</f>
        <v>0.10335294117647058</v>
      </c>
      <c r="D26" s="7">
        <f t="shared" si="10"/>
        <v>0.10335294117647058</v>
      </c>
      <c r="E26" s="7">
        <f t="shared" si="10"/>
        <v>0.10335294117647058</v>
      </c>
      <c r="F26" s="7">
        <f>F25*(66500/(66500+10000))+7%*(1-25%)*(10000/(66500+10000))</f>
        <v>0.10335294117647058</v>
      </c>
      <c r="G26" s="2">
        <f>F25*(66500/(66500+10000))+7%*(1-25%)*(10000/(66500+10000))</f>
        <v>0.10335294117647058</v>
      </c>
      <c r="J26" t="s">
        <v>94</v>
      </c>
    </row>
    <row r="27" spans="1:14">
      <c r="A27" t="s">
        <v>102</v>
      </c>
      <c r="B27" s="4"/>
      <c r="C27" s="4"/>
      <c r="D27" s="4"/>
      <c r="E27" s="4"/>
      <c r="F27" s="4"/>
      <c r="G27" s="4">
        <f>G23*(1+'Historical Data'!B29)/($B$26-'Historical Data'!B29)</f>
        <v>753788.78783068841</v>
      </c>
    </row>
    <row r="28" spans="1:14">
      <c r="A28" t="s">
        <v>105</v>
      </c>
      <c r="J28" t="s">
        <v>17</v>
      </c>
      <c r="K28" s="4">
        <f>'Historical Data'!F21</f>
        <v>66500</v>
      </c>
      <c r="M28" t="s">
        <v>99</v>
      </c>
      <c r="N28" s="4">
        <f>K28+K29</f>
        <v>76500</v>
      </c>
    </row>
    <row r="29" spans="1:14">
      <c r="A29" t="s">
        <v>103</v>
      </c>
      <c r="B29">
        <v>2025</v>
      </c>
      <c r="C29">
        <v>2026</v>
      </c>
      <c r="D29">
        <v>2027</v>
      </c>
      <c r="E29">
        <v>2028</v>
      </c>
      <c r="F29">
        <v>2029</v>
      </c>
      <c r="J29" t="s">
        <v>95</v>
      </c>
      <c r="K29" s="4">
        <f>'Historical Data'!F19</f>
        <v>10000</v>
      </c>
      <c r="M29" t="s">
        <v>100</v>
      </c>
      <c r="N29" s="2">
        <f>K28/N28</f>
        <v>0.86928104575163401</v>
      </c>
    </row>
    <row r="30" spans="1:14">
      <c r="A30" t="s">
        <v>89</v>
      </c>
      <c r="B30" s="4">
        <f>C23</f>
        <v>17922.5</v>
      </c>
      <c r="C30" s="4">
        <f t="shared" ref="C30:F30" si="11">D23</f>
        <v>19177.074999999997</v>
      </c>
      <c r="D30" s="4">
        <f t="shared" si="11"/>
        <v>20519.470249999998</v>
      </c>
      <c r="E30" s="4">
        <f t="shared" si="11"/>
        <v>21955.833167500008</v>
      </c>
      <c r="F30" s="4">
        <f t="shared" si="11"/>
        <v>23496.33</v>
      </c>
      <c r="G30" s="4"/>
      <c r="J30" t="s">
        <v>96</v>
      </c>
      <c r="K30" s="2">
        <f>F25</f>
        <v>0.11099999999999999</v>
      </c>
      <c r="M30" t="s">
        <v>101</v>
      </c>
      <c r="N30" s="2">
        <f>K29/N28</f>
        <v>0.13071895424836602</v>
      </c>
    </row>
    <row r="31" spans="1:14">
      <c r="A31" t="s">
        <v>104</v>
      </c>
      <c r="B31" s="2">
        <f>1/(1+$B$26)^1</f>
        <v>0.9063283040998027</v>
      </c>
      <c r="C31" s="2">
        <f>1/(1+$B$26)^2</f>
        <v>0.82143099481242443</v>
      </c>
      <c r="D31" s="2">
        <f>1/(1+$B$26)^3</f>
        <v>0.74448616046335836</v>
      </c>
      <c r="E31" s="2">
        <f>1/(1+$B$26)^4</f>
        <v>0.67474887923852922</v>
      </c>
      <c r="F31" s="2">
        <f>1/(1+$B$26)^5</f>
        <v>0.61154400741349868</v>
      </c>
      <c r="G31" s="2"/>
      <c r="J31" t="s">
        <v>97</v>
      </c>
      <c r="K31" s="1">
        <f>'Historical Data'!B27</f>
        <v>7.0000000000000007E-2</v>
      </c>
    </row>
    <row r="32" spans="1:14">
      <c r="A32" t="s">
        <v>106</v>
      </c>
      <c r="B32" s="4">
        <f>B30*B31</f>
        <v>16243.669030228713</v>
      </c>
      <c r="C32" s="4">
        <f t="shared" ref="C32:F32" si="12">C30*C31</f>
        <v>15752.643794842472</v>
      </c>
      <c r="D32" s="4">
        <f t="shared" si="12"/>
        <v>15276.461621164606</v>
      </c>
      <c r="E32" s="4">
        <f t="shared" si="12"/>
        <v>14814.673822518758</v>
      </c>
      <c r="F32" s="4">
        <f t="shared" si="12"/>
        <v>14369.039807710013</v>
      </c>
      <c r="G32" s="4"/>
      <c r="J32" t="s">
        <v>98</v>
      </c>
      <c r="K32" s="1">
        <f>'Historical Data'!F8</f>
        <v>0.25</v>
      </c>
    </row>
    <row r="33" spans="1:10">
      <c r="A33" t="s">
        <v>105</v>
      </c>
      <c r="B33" s="4">
        <f>SUM(B32:F32)+G27*F31</f>
        <v>537431.50412980723</v>
      </c>
      <c r="C33" s="4"/>
      <c r="D33" s="4"/>
      <c r="E33" s="4"/>
      <c r="F33" s="4"/>
      <c r="G33" s="4"/>
    </row>
    <row r="34" spans="1:10">
      <c r="A34" t="s">
        <v>107</v>
      </c>
      <c r="B34" s="4">
        <f>B33-10000+11800</f>
        <v>539231.50412980723</v>
      </c>
    </row>
    <row r="35" spans="1:10">
      <c r="A35" t="s">
        <v>108</v>
      </c>
      <c r="B35" s="4">
        <f>B34/160</f>
        <v>3370.1969008112951</v>
      </c>
    </row>
    <row r="37" spans="1:10">
      <c r="A37" s="5" t="s">
        <v>109</v>
      </c>
    </row>
    <row r="38" spans="1:10">
      <c r="A38" t="s">
        <v>110</v>
      </c>
      <c r="B38" s="4">
        <f>66500/160</f>
        <v>415.625</v>
      </c>
      <c r="J38" t="s">
        <v>111</v>
      </c>
    </row>
    <row r="39" spans="1:10">
      <c r="A39" t="s">
        <v>112</v>
      </c>
      <c r="B39" t="s">
        <v>113</v>
      </c>
    </row>
    <row r="40" spans="1:10">
      <c r="B40" t="s">
        <v>114</v>
      </c>
    </row>
    <row r="41" spans="1:10">
      <c r="B41" t="s">
        <v>115</v>
      </c>
    </row>
    <row r="43" spans="1:10">
      <c r="A43" s="5" t="s">
        <v>119</v>
      </c>
    </row>
    <row r="44" spans="1:10">
      <c r="A44" t="s">
        <v>116</v>
      </c>
      <c r="B44" s="4">
        <f>'Historical Data'!F10</f>
        <v>21500</v>
      </c>
    </row>
    <row r="45" spans="1:10">
      <c r="A45" t="s">
        <v>105</v>
      </c>
      <c r="B45" s="4">
        <f>K28+K29-'Historical Data'!F20</f>
        <v>64700</v>
      </c>
      <c r="J45" t="s">
        <v>117</v>
      </c>
    </row>
    <row r="47" spans="1:10">
      <c r="A47" s="5" t="s">
        <v>118</v>
      </c>
    </row>
    <row r="48" spans="1:10">
      <c r="A48" t="s">
        <v>120</v>
      </c>
      <c r="B48" t="s">
        <v>121</v>
      </c>
      <c r="C48" t="s">
        <v>122</v>
      </c>
    </row>
    <row r="49" spans="1:3">
      <c r="A49" t="s">
        <v>123</v>
      </c>
      <c r="B49">
        <v>22</v>
      </c>
      <c r="C49">
        <v>34</v>
      </c>
    </row>
    <row r="50" spans="1:3">
      <c r="A50" t="s">
        <v>124</v>
      </c>
      <c r="B50">
        <v>18</v>
      </c>
      <c r="C50">
        <v>27</v>
      </c>
    </row>
    <row r="51" spans="1:3">
      <c r="A51" t="s">
        <v>125</v>
      </c>
      <c r="B51">
        <v>16</v>
      </c>
      <c r="C51">
        <v>24</v>
      </c>
    </row>
    <row r="52" spans="1:3">
      <c r="A52" t="s">
        <v>126</v>
      </c>
      <c r="B52" s="8">
        <f>AVERAGE(B49:B51)</f>
        <v>18.666666666666668</v>
      </c>
      <c r="C52" s="8">
        <f>AVERAGE(C49:C51)</f>
        <v>28.333333333333332</v>
      </c>
    </row>
    <row r="54" spans="1:3">
      <c r="A54" t="s">
        <v>128</v>
      </c>
      <c r="B54" s="14">
        <f>B44*B52</f>
        <v>401333.33333333337</v>
      </c>
    </row>
    <row r="55" spans="1:3">
      <c r="A55" t="s">
        <v>127</v>
      </c>
      <c r="B55" s="14">
        <f>B54-K29+'Historical Data'!F20</f>
        <v>403133.33333333337</v>
      </c>
    </row>
    <row r="56" spans="1:3">
      <c r="A56" t="s">
        <v>129</v>
      </c>
      <c r="B56" s="14">
        <f>'Historical Data'!F14*C52</f>
        <v>395675</v>
      </c>
    </row>
    <row r="57" spans="1:3">
      <c r="A57" t="s">
        <v>130</v>
      </c>
      <c r="B57" s="14">
        <f>B55/160</f>
        <v>2519.5833333333335</v>
      </c>
    </row>
    <row r="58" spans="1:3">
      <c r="A58" t="s">
        <v>131</v>
      </c>
      <c r="B58" s="14">
        <f>B56/160</f>
        <v>2472.96875</v>
      </c>
    </row>
    <row r="60" spans="1:3">
      <c r="A60" s="5" t="s">
        <v>132</v>
      </c>
    </row>
    <row r="62" spans="1:3">
      <c r="A62" t="s">
        <v>133</v>
      </c>
    </row>
    <row r="63" spans="1:3">
      <c r="A63" t="s">
        <v>134</v>
      </c>
      <c r="B63" s="4">
        <f>'Historical Data'!F18</f>
        <v>81000</v>
      </c>
    </row>
    <row r="64" spans="1:3">
      <c r="A64" t="s">
        <v>135</v>
      </c>
      <c r="B64" s="3">
        <v>0.15</v>
      </c>
    </row>
    <row r="65" spans="1:6">
      <c r="A65" t="s">
        <v>136</v>
      </c>
      <c r="B65" s="4">
        <f>B63*(1+B64)</f>
        <v>93150</v>
      </c>
    </row>
    <row r="69" spans="1:6">
      <c r="A69" s="5" t="s">
        <v>137</v>
      </c>
    </row>
    <row r="70" spans="1:6">
      <c r="A70" t="s">
        <v>138</v>
      </c>
      <c r="B70">
        <f>'Historical Data'!B26</f>
        <v>0.85</v>
      </c>
    </row>
    <row r="71" spans="1:6">
      <c r="A71" t="s">
        <v>139</v>
      </c>
      <c r="B71" s="15">
        <f>B70/(1+(1-'Historical Data'!B8)*(10000/66500))</f>
        <v>0.7638513513513514</v>
      </c>
    </row>
    <row r="72" spans="1:6">
      <c r="A72" s="16" t="s">
        <v>140</v>
      </c>
      <c r="B72">
        <f>B71*(1+(1-'Historical Data'!B8)*(10000/66500))</f>
        <v>0.85</v>
      </c>
    </row>
    <row r="75" spans="1:6">
      <c r="A75" s="5" t="s">
        <v>141</v>
      </c>
    </row>
    <row r="76" spans="1:6">
      <c r="A76" t="s">
        <v>142</v>
      </c>
      <c r="B76" s="17">
        <v>0.03</v>
      </c>
      <c r="C76" s="1">
        <v>0.04</v>
      </c>
      <c r="D76" s="1">
        <v>0.05</v>
      </c>
      <c r="E76" s="1">
        <v>0.06</v>
      </c>
    </row>
    <row r="77" spans="1:6">
      <c r="A77" s="1">
        <v>0.08</v>
      </c>
      <c r="B77" s="4">
        <f>(C23/(1+$A77)^1+D23/(1+$A77)^2+E23/(1+$A77)^3+F23/(1+$A77)^4+G23/(1+$A77)^5+(G23*(1+B$76)/($A77-B$76))/(1+$A77)^5-10000+11800)/160</f>
        <v>2579.2090485132453</v>
      </c>
      <c r="C77" s="4">
        <f>(C23/(1+$A77)^1+D23/(1+$A77)^2+E23/(1+$A77)^3+F23/(1+$A77)^4+G23/(1+$A77)^5+(G23*(1+C$76)/($A77-C$76))/(1+$A77)^5-10000+11800)/160</f>
        <v>3118.912297924398</v>
      </c>
      <c r="D77" s="4">
        <f>(C23/(1+$A77)^1+D23/(1+$A77)^2+E23/(1+$A77)^3+F23/(1+$A77)^4+G23/(1+$A77)^5+(G23*(1+D$76)/($A77-D$76))/(1+$A77)^5-10000+11800)/160</f>
        <v>4018.4177136096528</v>
      </c>
      <c r="E77" s="4">
        <f>(C23/(1+$A77)^1+D23/(1+$A77)^2+E23/(1+$A77)^3+F23/(1+$A77)^4+G23/(1+$A77)^5+(G23*(1+E$76)/($A77-E$76))/(1+$A77)^5-10000+11800)/160</f>
        <v>5817.42854498016</v>
      </c>
      <c r="F77" s="4"/>
    </row>
    <row r="78" spans="1:6">
      <c r="A78" s="1">
        <v>0.09</v>
      </c>
      <c r="B78" s="4">
        <f>(C23/(1+$A78)^1+D23/(1+$A78)^2+E23/(1+$A78)^3+F23/(1+$A78)^4+G23/(1+$A78)^5+(G23*(1+B$76)/($A78-B$76))/(1+$A78)^5-10000+11800)/160</f>
        <v>2145.0355724473484</v>
      </c>
      <c r="C78" s="4">
        <f>(C23/(1+$A78)^1+D23/(1+$A78)^2+E23/(1+$A78)^3+F23/(1+$A78)^4+G23/(1+$A78)^5+(G23*(1+C$76)/($A78-C$76))/(1+$A78)^5-10000+11800)/160</f>
        <v>2491.8145836870885</v>
      </c>
      <c r="D78" s="4">
        <f>(C23/(1+$A78)^1+D23/(1+$A78)^2+E23/(1+$A78)^3+F23/(1+$A78)^4+G23/(1+$A78)^5+(G23*(1+D$76)/($A78-D$76))/(1+$A78)^5-10000+11800)/160</f>
        <v>3011.9831005466976</v>
      </c>
      <c r="E78" s="4">
        <f>(C23/(1+$A78)^1+D23/(1+$A78)^2+E23/(1+$A78)^3+F23/(1+$A78)^4+G23/(1+$A78)^5+(G23*(1+E$76)/($A78-E$76))/(1+$A78)^5-10000+11800)/160</f>
        <v>3878.9306286460474</v>
      </c>
      <c r="F78" s="14"/>
    </row>
    <row r="79" spans="1:6">
      <c r="A79" s="1">
        <v>0.1</v>
      </c>
      <c r="B79" s="4">
        <f t="shared" ref="B79:B80" si="13">(C24/(1+$A79)^1+D24/(1+$A79)^2+E24/(1+$A79)^3+F24/(1+$A79)^4+G24/(1+$A79)^5+(G24*(1+B$76)/($A79-B$76))/(1+$A79)^5-10000+11800)/160</f>
        <v>11.25</v>
      </c>
      <c r="C79" s="4">
        <f t="shared" ref="C79:C80" si="14">(C24/(1+$A79)^1+D24/(1+$A79)^2+E24/(1+$A79)^3+F24/(1+$A79)^4+G24/(1+$A79)^5+(G24*(1+C$76)/($A79-C$76))/(1+$A79)^5-10000+11800)/160</f>
        <v>11.25</v>
      </c>
      <c r="D79" s="4">
        <f t="shared" ref="D79:D80" si="15">(C24/(1+$A79)^1+D24/(1+$A79)^2+E24/(1+$A79)^3+F24/(1+$A79)^4+G24/(1+$A79)^5+(G24*(1+D$76)/($A79-D$76))/(1+$A79)^5-10000+11800)/160</f>
        <v>11.25</v>
      </c>
      <c r="E79" s="4">
        <f t="shared" ref="E79:E80" si="16">(C24/(1+$A79)^1+D24/(1+$A79)^2+E24/(1+$A79)^3+F24/(1+$A79)^4+G24/(1+$A79)^5+(G24*(1+E$76)/($A79-E$76))/(1+$A79)^5-10000+11800)/160</f>
        <v>11.25</v>
      </c>
    </row>
    <row r="80" spans="1:6">
      <c r="A80" s="1">
        <v>0.11</v>
      </c>
      <c r="B80" s="4">
        <f t="shared" si="13"/>
        <v>11.257864754363572</v>
      </c>
      <c r="C80" s="4">
        <f t="shared" si="14"/>
        <v>11.258680816173058</v>
      </c>
      <c r="D80" s="4">
        <f t="shared" si="15"/>
        <v>11.259768898585708</v>
      </c>
      <c r="E80" s="4">
        <f t="shared" si="16"/>
        <v>11.261292213963419</v>
      </c>
    </row>
    <row r="81" spans="1:5">
      <c r="A81" s="1">
        <v>0.12</v>
      </c>
      <c r="B81" s="4">
        <f t="shared" ref="B78:B81" si="17">(C27/(1+$A81)^1+D27/(1+$A81)^2+E27/(1+$A81)^3+F27/(1+$A81)^4+G27/(1+$A81)^5+(G27*(1+B$76)/($A81-B$76))/(1+$A81)^5-10000+11800)/160</f>
        <v>33278.361247587927</v>
      </c>
      <c r="C81" s="4">
        <f t="shared" ref="C78:C81" si="18">(D27/(1+$A81)^1+E27/(1+$A81)^2+F27/(1+$A81)^3+G27/(1+$A81)^4+H27/(1+$A81)^5+(H27*(1+C$76)/($A81-C$76))/(1+$A81)^5-10000+11800)/160</f>
        <v>3005.2900122829133</v>
      </c>
      <c r="D81" s="4">
        <f t="shared" ref="D78:D81" si="19">(E27/(1+$A81)^1+F27/(1+$A81)^2+G27/(1+$A81)^3+H27/(1+$A81)^4+I27/(1+$A81)^5+(I27*(1+D$76)/($A81-D$76))/(1+$A81)^5-10000+11800)/160</f>
        <v>3364.5748137568626</v>
      </c>
      <c r="E81" s="4">
        <f t="shared" ref="E78:E81" si="20">(F27/(1+$A81)^1+G27/(1+$A81)^2+H27/(1+$A81)^3+I27/(1+$A81)^4+J27/(1+$A81)^5+(J27*(1+E$76)/($A81-E$76))/(1+$A81)^5-10000+11800)/160</f>
        <v>3766.9737914076868</v>
      </c>
    </row>
    <row r="84" spans="1:5">
      <c r="A84" t="s">
        <v>150</v>
      </c>
    </row>
    <row r="85" spans="1:5">
      <c r="A85" t="s">
        <v>151</v>
      </c>
      <c r="B85" s="4">
        <f>'Historical Data'!F4</f>
        <v>64000</v>
      </c>
    </row>
    <row r="86" spans="1:5">
      <c r="A86" t="s">
        <v>152</v>
      </c>
      <c r="B86" s="7">
        <v>9.6000000000000002E-2</v>
      </c>
    </row>
    <row r="87" spans="1:5">
      <c r="A87" t="s">
        <v>153</v>
      </c>
      <c r="B87" s="4">
        <f>B85*(1+B86)</f>
        <v>70144</v>
      </c>
    </row>
    <row r="89" spans="1:5">
      <c r="A89" t="s">
        <v>154</v>
      </c>
      <c r="B89">
        <v>5.2</v>
      </c>
    </row>
    <row r="90" spans="1:5">
      <c r="A90" t="s">
        <v>155</v>
      </c>
      <c r="B90" s="4">
        <f>B87*B89</f>
        <v>364748.79999999999</v>
      </c>
    </row>
    <row r="92" spans="1:5">
      <c r="A92" t="s">
        <v>95</v>
      </c>
      <c r="B92" s="4">
        <f>'Historical Data'!F19</f>
        <v>10000</v>
      </c>
    </row>
    <row r="93" spans="1:5">
      <c r="A93" t="s">
        <v>16</v>
      </c>
      <c r="B93" s="4">
        <f>'Historical Data'!F20</f>
        <v>11800</v>
      </c>
    </row>
    <row r="94" spans="1:5">
      <c r="A94" t="s">
        <v>156</v>
      </c>
      <c r="B94" s="4">
        <f>B90-B92+B93</f>
        <v>366548.8</v>
      </c>
    </row>
    <row r="96" spans="1:5">
      <c r="A96" t="s">
        <v>23</v>
      </c>
      <c r="B96">
        <f>'Historical Data'!B28</f>
        <v>160</v>
      </c>
    </row>
    <row r="97" spans="1:2">
      <c r="A97" t="s">
        <v>157</v>
      </c>
      <c r="B97" s="4">
        <f>B94/B96</f>
        <v>2290.9299999999998</v>
      </c>
    </row>
    <row r="99" spans="1:2">
      <c r="A99" t="s">
        <v>158</v>
      </c>
      <c r="B99" s="14">
        <f>AVERAGE(B57,B58)</f>
        <v>2496.276041666667</v>
      </c>
    </row>
    <row r="100" spans="1:2">
      <c r="A100" t="s">
        <v>159</v>
      </c>
      <c r="B100" s="4">
        <f>B97</f>
        <v>2290.9299999999998</v>
      </c>
    </row>
    <row r="101" spans="1:2">
      <c r="A101" t="s">
        <v>160</v>
      </c>
      <c r="B101" s="14">
        <f>B100-B99</f>
        <v>-205.34604166666713</v>
      </c>
    </row>
    <row r="102" spans="1:2">
      <c r="A102" t="s">
        <v>161</v>
      </c>
      <c r="B102" s="2">
        <f>B101/B99</f>
        <v>-8.2260951208571284E-2</v>
      </c>
    </row>
    <row r="103" spans="1:2">
      <c r="A103" t="s">
        <v>163</v>
      </c>
      <c r="B103" s="18" t="s">
        <v>162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81CB-3EEF-4469-9C71-98F23FA1BFF6}">
  <dimension ref="A1:C23"/>
  <sheetViews>
    <sheetView workbookViewId="0">
      <selection activeCell="P21" sqref="P21"/>
    </sheetView>
  </sheetViews>
  <sheetFormatPr defaultRowHeight="14.4"/>
  <cols>
    <col min="1" max="1" width="25.109375" bestFit="1" customWidth="1"/>
    <col min="2" max="2" width="16.5546875" bestFit="1" customWidth="1"/>
    <col min="3" max="3" width="10.33203125" bestFit="1" customWidth="1"/>
  </cols>
  <sheetData>
    <row r="1" spans="1:2" ht="15.6">
      <c r="A1" s="9" t="s">
        <v>143</v>
      </c>
    </row>
    <row r="3" spans="1:2">
      <c r="A3" s="5" t="s">
        <v>28</v>
      </c>
    </row>
    <row r="4" spans="1:2">
      <c r="A4" t="s">
        <v>103</v>
      </c>
      <c r="B4" t="s">
        <v>28</v>
      </c>
    </row>
    <row r="5" spans="1:2">
      <c r="A5">
        <v>2021</v>
      </c>
      <c r="B5" s="1">
        <f>'Historical Data'!C34</f>
        <v>9.5238095238095344E-2</v>
      </c>
    </row>
    <row r="6" spans="1:2">
      <c r="A6">
        <v>2022</v>
      </c>
      <c r="B6" s="1">
        <f>'Historical Data'!D34</f>
        <v>0.10869565217391308</v>
      </c>
    </row>
    <row r="7" spans="1:2">
      <c r="A7">
        <v>2023</v>
      </c>
      <c r="B7" s="1">
        <f>'Historical Data'!E34</f>
        <v>0.11764705882352944</v>
      </c>
    </row>
    <row r="8" spans="1:2">
      <c r="A8">
        <v>2024</v>
      </c>
      <c r="B8" s="1">
        <f>'Historical Data'!F34</f>
        <v>0.12280701754385959</v>
      </c>
    </row>
    <row r="10" spans="1:2">
      <c r="A10" s="5" t="s">
        <v>144</v>
      </c>
    </row>
    <row r="11" spans="1:2">
      <c r="A11" t="s">
        <v>103</v>
      </c>
      <c r="B11" t="s">
        <v>30</v>
      </c>
    </row>
    <row r="12" spans="1:2">
      <c r="A12">
        <v>2021</v>
      </c>
      <c r="B12" s="1">
        <f>'Historical Data'!C35</f>
        <v>0.12844036697247696</v>
      </c>
    </row>
    <row r="13" spans="1:2">
      <c r="A13">
        <v>2022</v>
      </c>
      <c r="B13" s="1">
        <f>'Historical Data'!D35</f>
        <v>0.1447154471544716</v>
      </c>
    </row>
    <row r="14" spans="1:2">
      <c r="A14">
        <v>2023</v>
      </c>
      <c r="B14" s="1">
        <f>'Historical Data'!E35</f>
        <v>0.16122159090909083</v>
      </c>
    </row>
    <row r="15" spans="1:2">
      <c r="A15">
        <v>2024</v>
      </c>
      <c r="B15" s="1">
        <f>'Historical Data'!F35</f>
        <v>0.13883792048929666</v>
      </c>
    </row>
    <row r="17" spans="1:3">
      <c r="A17" s="5" t="s">
        <v>145</v>
      </c>
    </row>
    <row r="18" spans="1:3">
      <c r="A18" t="s">
        <v>146</v>
      </c>
      <c r="B18">
        <v>2024</v>
      </c>
      <c r="C18" t="s">
        <v>149</v>
      </c>
    </row>
    <row r="19" spans="1:3">
      <c r="A19" t="s">
        <v>44</v>
      </c>
      <c r="B19" s="2">
        <f>'Financial Analysis'!F26</f>
        <v>0.3359375</v>
      </c>
      <c r="C19">
        <f>33.59</f>
        <v>33.590000000000003</v>
      </c>
    </row>
    <row r="20" spans="1:3">
      <c r="A20" t="s">
        <v>27</v>
      </c>
      <c r="B20" s="2">
        <f>'Financial Analysis'!F27</f>
        <v>0.218203125</v>
      </c>
      <c r="C20">
        <v>21.82</v>
      </c>
    </row>
    <row r="21" spans="1:3">
      <c r="A21" t="s">
        <v>45</v>
      </c>
      <c r="B21" s="2">
        <f>'Financial Analysis'!F28</f>
        <v>0.21</v>
      </c>
      <c r="C21">
        <v>21</v>
      </c>
    </row>
    <row r="22" spans="1:3">
      <c r="A22" t="s">
        <v>147</v>
      </c>
      <c r="B22" s="8">
        <f>'Financial Analysis'!F29</f>
        <v>0.15037593984962405</v>
      </c>
      <c r="C22">
        <v>0.15</v>
      </c>
    </row>
    <row r="23" spans="1:3">
      <c r="A23" t="s">
        <v>148</v>
      </c>
      <c r="B23" s="8">
        <f>'Financial Analysis'!F30</f>
        <v>50</v>
      </c>
      <c r="C23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 Data</vt:lpstr>
      <vt:lpstr>Financial Analysis</vt:lpstr>
      <vt:lpstr>Statement Model</vt:lpstr>
      <vt:lpstr>Forecast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SUNDARAM PANDEY</dc:creator>
  <cp:lastModifiedBy>SUNDARAM PANDEY</cp:lastModifiedBy>
  <cp:lastPrinted>2026-09-21T20:12:53Z</cp:lastPrinted>
  <dcterms:created xsi:type="dcterms:W3CDTF">2026-09-19T20:13:30Z</dcterms:created>
  <dcterms:modified xsi:type="dcterms:W3CDTF">2026-09-26T13:10:32Z</dcterms:modified>
</cp:coreProperties>
</file>