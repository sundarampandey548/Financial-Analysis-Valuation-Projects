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443570258FB0B7/Documents/"/>
    </mc:Choice>
  </mc:AlternateContent>
  <xr:revisionPtr revIDLastSave="853" documentId="8_{D0F1C98C-5A9F-4517-A8AF-9494E2DE1465}" xr6:coauthVersionLast="47" xr6:coauthVersionMax="47" xr10:uidLastSave="{00C4255C-AB82-47E8-BA05-79407483B175}"/>
  <bookViews>
    <workbookView xWindow="-108" yWindow="-108" windowWidth="23256" windowHeight="12456" activeTab="4" xr2:uid="{DD47F2EA-17B1-41C7-92AF-C8F1ADEFD5B8}"/>
  </bookViews>
  <sheets>
    <sheet name="Historical  Data" sheetId="1" r:id="rId1"/>
    <sheet name="Financial Analysis" sheetId="2" r:id="rId2"/>
    <sheet name="3 Statement Model" sheetId="3" r:id="rId3"/>
    <sheet name="5 Years Forecast" sheetId="4" r:id="rId4"/>
    <sheet name="DCF Valuation" sheetId="5" r:id="rId5"/>
    <sheet name="Chart &amp;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4" i="5" l="1"/>
  <c r="B123" i="5"/>
  <c r="B122" i="5"/>
  <c r="B121" i="5"/>
  <c r="B120" i="5"/>
  <c r="B119" i="5"/>
  <c r="B66" i="6"/>
  <c r="D69" i="6"/>
  <c r="D68" i="6"/>
  <c r="D67" i="6"/>
  <c r="D66" i="6"/>
  <c r="C69" i="6"/>
  <c r="C68" i="6"/>
  <c r="C67" i="6"/>
  <c r="C66" i="6"/>
  <c r="B69" i="6"/>
  <c r="B68" i="6"/>
  <c r="B67" i="6"/>
  <c r="B51" i="6"/>
  <c r="B50" i="6"/>
  <c r="B49" i="6"/>
  <c r="B48" i="6"/>
  <c r="C34" i="6"/>
  <c r="B34" i="6"/>
  <c r="C33" i="6"/>
  <c r="B33" i="6"/>
  <c r="C32" i="6"/>
  <c r="B32" i="6"/>
  <c r="C31" i="6"/>
  <c r="B31" i="6"/>
  <c r="B8" i="6"/>
  <c r="B7" i="6"/>
  <c r="B6" i="6"/>
  <c r="B20" i="6"/>
  <c r="B19" i="6"/>
  <c r="B18" i="6"/>
  <c r="B17" i="6"/>
  <c r="B16" i="6"/>
  <c r="B5" i="6"/>
  <c r="B108" i="5"/>
  <c r="B107" i="5"/>
  <c r="B106" i="5"/>
  <c r="B105" i="5"/>
  <c r="B102" i="5"/>
  <c r="B101" i="5"/>
  <c r="B100" i="5"/>
  <c r="B99" i="5"/>
  <c r="B98" i="5"/>
  <c r="B97" i="5"/>
  <c r="B92" i="5"/>
  <c r="B90" i="5"/>
  <c r="B87" i="5"/>
  <c r="B86" i="5"/>
  <c r="B85" i="5"/>
  <c r="B84" i="5"/>
  <c r="B83" i="5"/>
  <c r="B80" i="5"/>
  <c r="B79" i="5"/>
  <c r="B78" i="5"/>
  <c r="C75" i="5"/>
  <c r="B75" i="5"/>
  <c r="B68" i="5"/>
  <c r="B66" i="5"/>
  <c r="B65" i="5"/>
  <c r="B64" i="5"/>
  <c r="B63" i="5"/>
  <c r="B57" i="5"/>
  <c r="B56" i="5"/>
  <c r="B55" i="5"/>
  <c r="B52" i="5"/>
  <c r="B51" i="5"/>
  <c r="B50" i="5"/>
  <c r="B49" i="5"/>
  <c r="B48" i="5"/>
  <c r="B47" i="5"/>
  <c r="B44" i="5"/>
  <c r="B43" i="5"/>
  <c r="C42" i="5"/>
  <c r="D42" i="5"/>
  <c r="E42" i="5"/>
  <c r="F42" i="5"/>
  <c r="B42" i="5"/>
  <c r="C41" i="5"/>
  <c r="D41" i="5"/>
  <c r="E41" i="5"/>
  <c r="F41" i="5"/>
  <c r="B41" i="5"/>
  <c r="B32" i="5"/>
  <c r="B31" i="5"/>
  <c r="B30" i="5"/>
  <c r="B29" i="5"/>
  <c r="B26" i="5"/>
  <c r="B25" i="5"/>
  <c r="B24" i="5"/>
  <c r="B23" i="5"/>
  <c r="B22" i="5"/>
  <c r="C12" i="5"/>
  <c r="D12" i="5"/>
  <c r="E12" i="5"/>
  <c r="F12" i="5"/>
  <c r="B12" i="5"/>
  <c r="C9" i="5"/>
  <c r="D9" i="5"/>
  <c r="E9" i="5"/>
  <c r="F9" i="5"/>
  <c r="B9" i="5"/>
  <c r="B17" i="5"/>
  <c r="B19" i="5"/>
  <c r="B18" i="5"/>
  <c r="B16" i="5"/>
  <c r="C7" i="5"/>
  <c r="D7" i="5"/>
  <c r="E7" i="5"/>
  <c r="F7" i="5"/>
  <c r="B7" i="5"/>
  <c r="F6" i="5"/>
  <c r="E6" i="5"/>
  <c r="D6" i="5"/>
  <c r="C6" i="5"/>
  <c r="B6" i="5"/>
  <c r="C5" i="5"/>
  <c r="D5" i="5"/>
  <c r="E5" i="5"/>
  <c r="F5" i="5"/>
  <c r="B5" i="5"/>
  <c r="H11" i="4"/>
  <c r="I11" i="4"/>
  <c r="J11" i="4"/>
  <c r="K11" i="4"/>
  <c r="G11" i="4"/>
  <c r="H10" i="4"/>
  <c r="I10" i="4"/>
  <c r="J10" i="4"/>
  <c r="K10" i="4"/>
  <c r="G10" i="4"/>
  <c r="N10" i="4"/>
  <c r="H9" i="4"/>
  <c r="I9" i="4"/>
  <c r="J9" i="4"/>
  <c r="K9" i="4"/>
  <c r="G9" i="4"/>
  <c r="H8" i="4"/>
  <c r="I8" i="4"/>
  <c r="J8" i="4"/>
  <c r="K8" i="4"/>
  <c r="G8" i="4"/>
  <c r="H7" i="4"/>
  <c r="I7" i="4"/>
  <c r="J7" i="4"/>
  <c r="K7" i="4"/>
  <c r="G7" i="4"/>
  <c r="N8" i="4"/>
  <c r="H6" i="4"/>
  <c r="I6" i="4"/>
  <c r="J6" i="4"/>
  <c r="K6" i="4"/>
  <c r="G6" i="4"/>
  <c r="H5" i="4"/>
  <c r="I5" i="4"/>
  <c r="J5" i="4"/>
  <c r="K5" i="4" s="1"/>
  <c r="G5" i="4"/>
  <c r="N6" i="4"/>
  <c r="N5" i="4"/>
  <c r="C11" i="4"/>
  <c r="D11" i="4"/>
  <c r="E11" i="4"/>
  <c r="F11" i="4"/>
  <c r="C10" i="4"/>
  <c r="D10" i="4"/>
  <c r="E10" i="4"/>
  <c r="F10" i="4"/>
  <c r="C9" i="4"/>
  <c r="D9" i="4"/>
  <c r="E9" i="4"/>
  <c r="F9" i="4"/>
  <c r="C8" i="4"/>
  <c r="D8" i="4"/>
  <c r="E8" i="4"/>
  <c r="F8" i="4"/>
  <c r="C7" i="4"/>
  <c r="D7" i="4"/>
  <c r="E7" i="4"/>
  <c r="F7" i="4"/>
  <c r="C6" i="4"/>
  <c r="D6" i="4"/>
  <c r="E6" i="4"/>
  <c r="F6" i="4"/>
  <c r="C5" i="4"/>
  <c r="D5" i="4"/>
  <c r="E5" i="4"/>
  <c r="F5" i="4"/>
  <c r="B11" i="4"/>
  <c r="B10" i="4"/>
  <c r="B9" i="4"/>
  <c r="B8" i="4"/>
  <c r="B7" i="4"/>
  <c r="B6" i="4"/>
  <c r="B5" i="4"/>
  <c r="C31" i="3"/>
  <c r="D31" i="3"/>
  <c r="E31" i="3"/>
  <c r="F31" i="3"/>
  <c r="B31" i="3"/>
  <c r="D30" i="3"/>
  <c r="E30" i="3"/>
  <c r="F30" i="3"/>
  <c r="C29" i="3"/>
  <c r="D29" i="3"/>
  <c r="E29" i="3"/>
  <c r="F29" i="3"/>
  <c r="C26" i="3"/>
  <c r="D26" i="3"/>
  <c r="E26" i="3"/>
  <c r="F26" i="3"/>
  <c r="C25" i="3"/>
  <c r="D25" i="3"/>
  <c r="E25" i="3"/>
  <c r="F25" i="3"/>
  <c r="B26" i="3"/>
  <c r="C24" i="3"/>
  <c r="D24" i="3"/>
  <c r="E24" i="3"/>
  <c r="F24" i="3"/>
  <c r="C23" i="3"/>
  <c r="D23" i="3"/>
  <c r="E23" i="3"/>
  <c r="F23" i="3"/>
  <c r="B25" i="3"/>
  <c r="B24" i="3"/>
  <c r="B23" i="3"/>
  <c r="C18" i="3"/>
  <c r="D18" i="3"/>
  <c r="C14" i="3"/>
  <c r="D14" i="3"/>
  <c r="E14" i="3"/>
  <c r="E18" i="3" s="1"/>
  <c r="F14" i="3"/>
  <c r="F18" i="3" s="1"/>
  <c r="C13" i="3"/>
  <c r="D13" i="3"/>
  <c r="E13" i="3"/>
  <c r="F13" i="3"/>
  <c r="C12" i="3"/>
  <c r="D12" i="3"/>
  <c r="E12" i="3"/>
  <c r="F12" i="3"/>
  <c r="C10" i="3"/>
  <c r="D10" i="3"/>
  <c r="E10" i="3"/>
  <c r="F10" i="3"/>
  <c r="C11" i="3"/>
  <c r="D11" i="3"/>
  <c r="E11" i="3"/>
  <c r="F11" i="3"/>
  <c r="C9" i="3"/>
  <c r="C30" i="3" s="1"/>
  <c r="D9" i="3"/>
  <c r="E9" i="3"/>
  <c r="F9" i="3"/>
  <c r="C8" i="3"/>
  <c r="D8" i="3"/>
  <c r="E8" i="3"/>
  <c r="F8" i="3"/>
  <c r="C7" i="3"/>
  <c r="D7" i="3"/>
  <c r="E7" i="3"/>
  <c r="F7" i="3"/>
  <c r="B14" i="3"/>
  <c r="B29" i="3" s="1"/>
  <c r="B13" i="3"/>
  <c r="B12" i="3"/>
  <c r="B11" i="3"/>
  <c r="B10" i="3"/>
  <c r="B9" i="3"/>
  <c r="B30" i="3" s="1"/>
  <c r="B8" i="3"/>
  <c r="B7" i="3"/>
  <c r="C6" i="3"/>
  <c r="D6" i="3"/>
  <c r="E6" i="3"/>
  <c r="F6" i="3"/>
  <c r="B6" i="3"/>
  <c r="D43" i="2"/>
  <c r="E43" i="2"/>
  <c r="F43" i="2"/>
  <c r="C43" i="2"/>
  <c r="B43" i="2"/>
  <c r="C37" i="2"/>
  <c r="D37" i="2"/>
  <c r="E37" i="2"/>
  <c r="F37" i="2"/>
  <c r="B37" i="2"/>
  <c r="B18" i="3" l="1"/>
  <c r="C31" i="2"/>
  <c r="D31" i="2"/>
  <c r="E31" i="2"/>
  <c r="F31" i="2"/>
  <c r="F30" i="2"/>
  <c r="C32" i="2"/>
  <c r="D32" i="2"/>
  <c r="E32" i="2"/>
  <c r="F32" i="2"/>
  <c r="B33" i="2"/>
  <c r="B32" i="2"/>
  <c r="B31" i="2"/>
  <c r="B30" i="2"/>
  <c r="E26" i="2"/>
  <c r="F26" i="2"/>
  <c r="D25" i="2"/>
  <c r="E25" i="2"/>
  <c r="F25" i="2"/>
  <c r="F21" i="2"/>
  <c r="B20" i="2"/>
  <c r="F19" i="2"/>
  <c r="C19" i="2"/>
  <c r="B19" i="2"/>
  <c r="B18" i="2"/>
  <c r="D17" i="2"/>
  <c r="B16" i="2"/>
  <c r="C10" i="2"/>
  <c r="C44" i="2" s="1"/>
  <c r="D10" i="2"/>
  <c r="D26" i="2" s="1"/>
  <c r="E10" i="2"/>
  <c r="F10" i="2"/>
  <c r="B10" i="2"/>
  <c r="B44" i="2" s="1"/>
  <c r="C9" i="2"/>
  <c r="C33" i="2" s="1"/>
  <c r="D9" i="2"/>
  <c r="D33" i="2" s="1"/>
  <c r="E9" i="2"/>
  <c r="E33" i="2" s="1"/>
  <c r="F9" i="2"/>
  <c r="F20" i="2" s="1"/>
  <c r="B9" i="2"/>
  <c r="C8" i="2"/>
  <c r="C29" i="2" s="1"/>
  <c r="D8" i="2"/>
  <c r="D29" i="2" s="1"/>
  <c r="E8" i="2"/>
  <c r="E29" i="2" s="1"/>
  <c r="F8" i="2"/>
  <c r="F29" i="2" s="1"/>
  <c r="B8" i="2"/>
  <c r="B29" i="2" s="1"/>
  <c r="C7" i="2"/>
  <c r="C18" i="2" s="1"/>
  <c r="D7" i="2"/>
  <c r="D18" i="2" s="1"/>
  <c r="E7" i="2"/>
  <c r="E18" i="2" s="1"/>
  <c r="F7" i="2"/>
  <c r="F18" i="2" s="1"/>
  <c r="B7" i="2"/>
  <c r="C6" i="2"/>
  <c r="C17" i="2" s="1"/>
  <c r="D6" i="2"/>
  <c r="E6" i="2"/>
  <c r="F6" i="2"/>
  <c r="F17" i="2" s="1"/>
  <c r="B6" i="2"/>
  <c r="B17" i="2" s="1"/>
  <c r="C5" i="2"/>
  <c r="D5" i="2"/>
  <c r="D24" i="2" s="1"/>
  <c r="E5" i="2"/>
  <c r="E24" i="2" s="1"/>
  <c r="F5" i="2"/>
  <c r="F16" i="2" s="1"/>
  <c r="B5" i="2"/>
  <c r="C24" i="2" s="1"/>
  <c r="C4" i="2"/>
  <c r="D4" i="2"/>
  <c r="E4" i="2"/>
  <c r="E30" i="2" s="1"/>
  <c r="F4" i="2"/>
  <c r="B4" i="2"/>
  <c r="C19" i="1"/>
  <c r="D19" i="1"/>
  <c r="E19" i="1"/>
  <c r="F19" i="1"/>
  <c r="B19" i="1"/>
  <c r="C18" i="1"/>
  <c r="D18" i="1"/>
  <c r="E18" i="1"/>
  <c r="F18" i="1"/>
  <c r="B18" i="1"/>
  <c r="C17" i="1"/>
  <c r="D17" i="1"/>
  <c r="E17" i="1"/>
  <c r="F17" i="1"/>
  <c r="B17" i="1"/>
  <c r="C16" i="1"/>
  <c r="D16" i="1"/>
  <c r="E16" i="1"/>
  <c r="F16" i="1"/>
  <c r="B16" i="1"/>
  <c r="C15" i="1"/>
  <c r="D15" i="1"/>
  <c r="E15" i="1"/>
  <c r="F15" i="1"/>
  <c r="B15" i="1"/>
  <c r="C26" i="2" l="1"/>
  <c r="D36" i="2"/>
  <c r="D42" i="2"/>
  <c r="D20" i="2"/>
  <c r="E23" i="2"/>
  <c r="D23" i="2"/>
  <c r="D19" i="2"/>
  <c r="F33" i="2"/>
  <c r="B42" i="2"/>
  <c r="B36" i="2"/>
  <c r="E44" i="2"/>
  <c r="B21" i="2"/>
  <c r="C21" i="2"/>
  <c r="E36" i="2"/>
  <c r="E42" i="2"/>
  <c r="E20" i="2"/>
  <c r="F23" i="2"/>
  <c r="E17" i="2"/>
  <c r="C36" i="2"/>
  <c r="C42" i="2"/>
  <c r="C16" i="2"/>
  <c r="C20" i="2"/>
  <c r="D30" i="2"/>
  <c r="D16" i="2"/>
  <c r="E19" i="2"/>
  <c r="C30" i="2"/>
  <c r="E16" i="2"/>
  <c r="E21" i="2"/>
  <c r="F24" i="2"/>
  <c r="F44" i="2"/>
  <c r="D21" i="2"/>
  <c r="F42" i="2"/>
  <c r="F36" i="2"/>
  <c r="D44" i="2"/>
  <c r="C23" i="2"/>
  <c r="C25" i="2"/>
</calcChain>
</file>

<file path=xl/sharedStrings.xml><?xml version="1.0" encoding="utf-8"?>
<sst xmlns="http://schemas.openxmlformats.org/spreadsheetml/2006/main" count="235" uniqueCount="148">
  <si>
    <t>Nexora Technologies Ltd — Historical Financial Data</t>
  </si>
  <si>
    <t>Particulars</t>
  </si>
  <si>
    <t>Revenue</t>
  </si>
  <si>
    <t>Operating Expenses</t>
  </si>
  <si>
    <t>Depriciation</t>
  </si>
  <si>
    <t xml:space="preserve">Intrest </t>
  </si>
  <si>
    <t>Tax Rates</t>
  </si>
  <si>
    <t>Total Assets</t>
  </si>
  <si>
    <t>Debt</t>
  </si>
  <si>
    <t>Cash</t>
  </si>
  <si>
    <t>Equity</t>
  </si>
  <si>
    <t>BALANCE SHEET</t>
  </si>
  <si>
    <t>EBIT</t>
  </si>
  <si>
    <t>PBT</t>
  </si>
  <si>
    <t>Tax</t>
  </si>
  <si>
    <t>Net Profit</t>
  </si>
  <si>
    <t>EBITDA</t>
  </si>
  <si>
    <t>Risk Free Rate</t>
  </si>
  <si>
    <t>Market Return</t>
  </si>
  <si>
    <t xml:space="preserve">Equity Beta </t>
  </si>
  <si>
    <t>Cost Of Debt</t>
  </si>
  <si>
    <t>Share Outstanding</t>
  </si>
  <si>
    <t>Expected Growth</t>
  </si>
  <si>
    <t>Nexora Technologies Ltd — Financial Analysis</t>
  </si>
  <si>
    <t>Intrest</t>
  </si>
  <si>
    <t>Common-Size Analysis (% of Revenue)</t>
  </si>
  <si>
    <t>Comparative / Growth Analysis</t>
  </si>
  <si>
    <t>Revenue Growth</t>
  </si>
  <si>
    <t>Operating Expenses Growth</t>
  </si>
  <si>
    <t>EBITDA Growth</t>
  </si>
  <si>
    <t>Net Profit Growth</t>
  </si>
  <si>
    <t>N/A</t>
  </si>
  <si>
    <t>Key Financial Ratios</t>
  </si>
  <si>
    <t>Operating Margin Ratio</t>
  </si>
  <si>
    <t>Net Profit Margin Ratio</t>
  </si>
  <si>
    <t>Return On Equity Ratio (ROE)</t>
  </si>
  <si>
    <t>Debt To Equity Ratio</t>
  </si>
  <si>
    <t>Intrest Coverage</t>
  </si>
  <si>
    <t>Additional Ratios</t>
  </si>
  <si>
    <t>Asset Turnover ratio</t>
  </si>
  <si>
    <t>Debt Ratio</t>
  </si>
  <si>
    <t xml:space="preserve">Current ratio </t>
  </si>
  <si>
    <t>Quick Ratio</t>
  </si>
  <si>
    <t>Trend Analysis (2020 = 100)</t>
  </si>
  <si>
    <t>Revenue Trend</t>
  </si>
  <si>
    <t>Profit Trend</t>
  </si>
  <si>
    <t>EBITDA Trend</t>
  </si>
  <si>
    <t>Nexora Technologies Ltd — 3-Statement Model</t>
  </si>
  <si>
    <t>Income Statement</t>
  </si>
  <si>
    <t>Net Income</t>
  </si>
  <si>
    <t>Retained Earnings</t>
  </si>
  <si>
    <t>Opening Retained Earnings</t>
  </si>
  <si>
    <t>Dividend</t>
  </si>
  <si>
    <t>Closing Retained Earnings</t>
  </si>
  <si>
    <t>Balance Sheet</t>
  </si>
  <si>
    <t>Total Asset</t>
  </si>
  <si>
    <t>Cash Flow Statement</t>
  </si>
  <si>
    <t>Cash Flow From Operations</t>
  </si>
  <si>
    <t>Nexora Technologies Ltd — 5-Year Forecast</t>
  </si>
  <si>
    <t>Cash Flow</t>
  </si>
  <si>
    <t>Forecast Assumptions</t>
  </si>
  <si>
    <t>Operating Expense % of Revenue</t>
  </si>
  <si>
    <t>Depreciation % of Revenue</t>
  </si>
  <si>
    <t>Tax Rate</t>
  </si>
  <si>
    <t>EBITDA Margin</t>
  </si>
  <si>
    <t>Interest Expense</t>
  </si>
  <si>
    <t>Nexora Technologies Ltd. — DCF Valuation</t>
  </si>
  <si>
    <t xml:space="preserve">Particulars </t>
  </si>
  <si>
    <t>NOPAT</t>
  </si>
  <si>
    <t>Depreciation</t>
  </si>
  <si>
    <t>Capital Expenditure</t>
  </si>
  <si>
    <t>Change in Working Capital</t>
  </si>
  <si>
    <t>UFCF</t>
  </si>
  <si>
    <t>Cost of Equity (CAPM)</t>
  </si>
  <si>
    <t>Equity Beta</t>
  </si>
  <si>
    <t xml:space="preserve">Cost of Equity </t>
  </si>
  <si>
    <t>WACC Calculation</t>
  </si>
  <si>
    <t>Cost Of Equity</t>
  </si>
  <si>
    <t>Equity Value</t>
  </si>
  <si>
    <t>Debt Value</t>
  </si>
  <si>
    <t>WACC</t>
  </si>
  <si>
    <t>Terminal Value Calculation</t>
  </si>
  <si>
    <t>2029 UFCF</t>
  </si>
  <si>
    <t>Expected Growth Rate</t>
  </si>
  <si>
    <t>Terminal Value</t>
  </si>
  <si>
    <t>Enterprise Value Calculation</t>
  </si>
  <si>
    <t>Present Value of Forecast UFCF</t>
  </si>
  <si>
    <t>Present Value of Terminal Value</t>
  </si>
  <si>
    <t>Enterprise Value</t>
  </si>
  <si>
    <t>Discount Factor</t>
  </si>
  <si>
    <t>Year</t>
  </si>
  <si>
    <t>PV of UFCF</t>
  </si>
  <si>
    <t>PV of Terminal Value</t>
  </si>
  <si>
    <t>Equity Value Calculation</t>
  </si>
  <si>
    <t>Less : Debt</t>
  </si>
  <si>
    <t>ADD : Cash</t>
  </si>
  <si>
    <t xml:space="preserve">Share Outstanding </t>
  </si>
  <si>
    <t>DCF Value Per Share</t>
  </si>
  <si>
    <t>Book Value Analysis</t>
  </si>
  <si>
    <t>Equity / Net Worth</t>
  </si>
  <si>
    <t>Share Outstandiing</t>
  </si>
  <si>
    <t>Book Value Per Share</t>
  </si>
  <si>
    <t>EBITDA &amp; Enterprise Value</t>
  </si>
  <si>
    <t>2024 EBITDA</t>
  </si>
  <si>
    <t>EV / EBITDA</t>
  </si>
  <si>
    <t>Comparable Company Valuation</t>
  </si>
  <si>
    <t>Company</t>
  </si>
  <si>
    <t>EV/EBITDA</t>
  </si>
  <si>
    <t>P/E</t>
  </si>
  <si>
    <t>TCS</t>
  </si>
  <si>
    <t>WIPRO</t>
  </si>
  <si>
    <t>HCL TECH</t>
  </si>
  <si>
    <t>Average</t>
  </si>
  <si>
    <t>EV/EBITDA Valuation</t>
  </si>
  <si>
    <t>Nexora EBITDA</t>
  </si>
  <si>
    <t>Avg EV/EBITDA</t>
  </si>
  <si>
    <t>Implied Enterprise Value</t>
  </si>
  <si>
    <t>P/E Valuation</t>
  </si>
  <si>
    <t>Nexora Net Profit</t>
  </si>
  <si>
    <t>Average P/E</t>
  </si>
  <si>
    <t>Implied Equity Value</t>
  </si>
  <si>
    <t>Implied Value Per Share</t>
  </si>
  <si>
    <t>Replacement Cost Valuation</t>
  </si>
  <si>
    <t>2024 Total Assets</t>
  </si>
  <si>
    <t>Inflation Adjustment</t>
  </si>
  <si>
    <t>Replacement Cost</t>
  </si>
  <si>
    <t>Beta Analysis</t>
  </si>
  <si>
    <t>Debt/Equity</t>
  </si>
  <si>
    <t>Unleavered / Equity Beta</t>
  </si>
  <si>
    <t>Relevered Beta</t>
  </si>
  <si>
    <t>Unleavered Beta</t>
  </si>
  <si>
    <t>Nexora Technologies Ltd. — Charts &amp; Analysis</t>
  </si>
  <si>
    <t>Ratio Comparison</t>
  </si>
  <si>
    <t>Ratio</t>
  </si>
  <si>
    <t>Operating Margin</t>
  </si>
  <si>
    <t>Net Profit Margin</t>
  </si>
  <si>
    <t>ROE</t>
  </si>
  <si>
    <t>Debt To Equity</t>
  </si>
  <si>
    <t>Overall Performance</t>
  </si>
  <si>
    <t>Final Valuation &amp; Conclusion</t>
  </si>
  <si>
    <t>DCF Valuation</t>
  </si>
  <si>
    <t>Comparable EV/EBITDA Value</t>
  </si>
  <si>
    <t>Comparable P/E Value</t>
  </si>
  <si>
    <t>Comparable BenchMark</t>
  </si>
  <si>
    <t>Difference from Comparable Benchmark</t>
  </si>
  <si>
    <t>Difference %</t>
  </si>
  <si>
    <t>Final conclusion</t>
  </si>
  <si>
    <t>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</si>
</sst>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0.0%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1" applyFont="1"/>
    <xf numFmtId="164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vertical="center" wrapText="1"/>
    </xf>
    <xf numFmtId="2" fontId="0" fillId="0" borderId="0" xfId="1" applyNumberFormat="1" applyFont="1"/>
    <xf numFmtId="44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1" xfId="0" applyBorder="1"/>
    <xf numFmtId="0" fontId="3" fillId="2" borderId="0" xfId="0" applyFont="1" applyFill="1"/>
    <xf numFmtId="10" fontId="3" fillId="2" borderId="0" xfId="0" applyNumberFormat="1" applyFont="1" applyFill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&amp; Analysis'!$B$4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'Chart &amp; Analysis'!$A$5:$A$8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'Chart &amp; Analysis'!$B$5:$B$8</c:f>
              <c:numCache>
                <c:formatCode>0.00%</c:formatCode>
                <c:ptCount val="4"/>
                <c:pt idx="0">
                  <c:v>7.6923076923076872E-2</c:v>
                </c:pt>
                <c:pt idx="1">
                  <c:v>9.5238095238095344E-2</c:v>
                </c:pt>
                <c:pt idx="2">
                  <c:v>9.7826086956521729E-2</c:v>
                </c:pt>
                <c:pt idx="3">
                  <c:v>0.10891089108910901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6-46BA-9FA0-BE1D2FF1A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536111"/>
        <c:axId val="1152241967"/>
      </c:lineChart>
      <c:catAx>
        <c:axId val="114953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1967"/>
        <c:crosses val="autoZero"/>
        <c:auto val="1"/>
        <c:lblAlgn val="ctr"/>
        <c:lblOffset val="100"/>
        <c:noMultiLvlLbl val="0"/>
      </c:catAx>
      <c:valAx>
        <c:axId val="11522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5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&amp; Analysis'!$B$15</c:f>
              <c:strCache>
                <c:ptCount val="1"/>
                <c:pt idx="0">
                  <c:v>Net Profit Growth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'Chart &amp; Analysis'!$A$16:$A$20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xVal>
          <c:yVal>
            <c:numRef>
              <c:f>'Chart &amp; Analysis'!$B$16:$B$20</c:f>
              <c:numCache>
                <c:formatCode>0.00%</c:formatCode>
                <c:ptCount val="5"/>
                <c:pt idx="0">
                  <c:v>0.17692307692307693</c:v>
                </c:pt>
                <c:pt idx="1">
                  <c:v>0.18035714285714285</c:v>
                </c:pt>
                <c:pt idx="2">
                  <c:v>0.18627717391304346</c:v>
                </c:pt>
                <c:pt idx="3">
                  <c:v>0.18935643564356436</c:v>
                </c:pt>
                <c:pt idx="4">
                  <c:v>0.19520089285714284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87-4D66-A454-EF6FC62A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953455"/>
        <c:axId val="1152207407"/>
      </c:scatterChart>
      <c:valAx>
        <c:axId val="115495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07407"/>
        <c:crosses val="autoZero"/>
        <c:crossBetween val="midCat"/>
      </c:valAx>
      <c:valAx>
        <c:axId val="115220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5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&amp; Analysis'!$B$30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&amp; Analysis'!$A$31:$A$34</c:f>
              <c:strCache>
                <c:ptCount val="4"/>
                <c:pt idx="0">
                  <c:v>Operating Margin</c:v>
                </c:pt>
                <c:pt idx="1">
                  <c:v>Net Profit Margin</c:v>
                </c:pt>
                <c:pt idx="2">
                  <c:v>ROE</c:v>
                </c:pt>
                <c:pt idx="3">
                  <c:v>Debt To Equity</c:v>
                </c:pt>
              </c:strCache>
            </c:strRef>
          </c:cat>
          <c:val>
            <c:numRef>
              <c:f>'Chart &amp; Analysis'!$B$31:$B$34</c:f>
              <c:numCache>
                <c:formatCode>0.00%</c:formatCode>
                <c:ptCount val="4"/>
                <c:pt idx="0">
                  <c:v>0.28205128205128205</c:v>
                </c:pt>
                <c:pt idx="1">
                  <c:v>0.17692307692307693</c:v>
                </c:pt>
                <c:pt idx="2">
                  <c:v>0.15333333333333332</c:v>
                </c:pt>
                <c:pt idx="3" formatCode="0.0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5-4613-A49E-764098C75558}"/>
            </c:ext>
          </c:extLst>
        </c:ser>
        <c:ser>
          <c:idx val="1"/>
          <c:order val="1"/>
          <c:tx>
            <c:strRef>
              <c:f>'Chart &amp; Analysis'!$C$30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&amp; Analysis'!$A$31:$A$34</c:f>
              <c:strCache>
                <c:ptCount val="4"/>
                <c:pt idx="0">
                  <c:v>Operating Margin</c:v>
                </c:pt>
                <c:pt idx="1">
                  <c:v>Net Profit Margin</c:v>
                </c:pt>
                <c:pt idx="2">
                  <c:v>ROE</c:v>
                </c:pt>
                <c:pt idx="3">
                  <c:v>Debt To Equity</c:v>
                </c:pt>
              </c:strCache>
            </c:strRef>
          </c:cat>
          <c:val>
            <c:numRef>
              <c:f>'Chart &amp; Analysis'!$C$31:$C$34</c:f>
              <c:numCache>
                <c:formatCode>0.00%</c:formatCode>
                <c:ptCount val="4"/>
                <c:pt idx="0">
                  <c:v>0.30357142857142855</c:v>
                </c:pt>
                <c:pt idx="1">
                  <c:v>0.19520089285714284</c:v>
                </c:pt>
                <c:pt idx="2">
                  <c:v>0.16882239382239383</c:v>
                </c:pt>
                <c:pt idx="3" formatCode="0.00">
                  <c:v>0.15830115830115829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5-4613-A49E-764098C755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4935359"/>
        <c:axId val="1152155567"/>
      </c:barChart>
      <c:catAx>
        <c:axId val="115493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155567"/>
        <c:crosses val="autoZero"/>
        <c:auto val="1"/>
        <c:lblAlgn val="ctr"/>
        <c:lblOffset val="100"/>
        <c:noMultiLvlLbl val="0"/>
      </c:catAx>
      <c:valAx>
        <c:axId val="1152155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1256780402449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&amp; Analysis'!$B$47</c:f>
              <c:strCache>
                <c:ptCount val="1"/>
                <c:pt idx="0">
                  <c:v>EBITDA Growth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'Chart &amp; Analysis'!$A$48:$A$51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'Chart &amp; Analysis'!$B$48:$B$51</c:f>
              <c:numCache>
                <c:formatCode>0.00%</c:formatCode>
                <c:ptCount val="4"/>
                <c:pt idx="0">
                  <c:v>9.0909090909090828E-2</c:v>
                </c:pt>
                <c:pt idx="1">
                  <c:v>0.125</c:v>
                </c:pt>
                <c:pt idx="2">
                  <c:v>0.11111111111111116</c:v>
                </c:pt>
                <c:pt idx="3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A-4852-A7DD-D7AA68E3E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716479"/>
        <c:axId val="1152272207"/>
      </c:lineChart>
      <c:catAx>
        <c:axId val="116071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72207"/>
        <c:crosses val="autoZero"/>
        <c:auto val="1"/>
        <c:lblAlgn val="ctr"/>
        <c:lblOffset val="100"/>
        <c:noMultiLvlLbl val="0"/>
      </c:catAx>
      <c:valAx>
        <c:axId val="115227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1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</a:t>
            </a:r>
            <a:r>
              <a:rPr lang="en-IN" baseline="0"/>
              <a:t>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&amp; Analysis'!$B$64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&amp; Analysis'!$A$65:$A$69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'Chart &amp; Analysis'!$B$65:$B$69</c:f>
              <c:numCache>
                <c:formatCode>"₹"\ #,##0.00</c:formatCode>
                <c:ptCount val="5"/>
                <c:pt idx="1">
                  <c:v>84000</c:v>
                </c:pt>
                <c:pt idx="2">
                  <c:v>92000</c:v>
                </c:pt>
                <c:pt idx="3">
                  <c:v>101000</c:v>
                </c:pt>
                <c:pt idx="4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0-4BCB-9DBC-D057EC9E4CCB}"/>
            </c:ext>
          </c:extLst>
        </c:ser>
        <c:ser>
          <c:idx val="1"/>
          <c:order val="1"/>
          <c:tx>
            <c:strRef>
              <c:f>'Chart &amp; Analysis'!$C$64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&amp; Analysis'!$A$65:$A$69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'Chart &amp; Analysis'!$C$65:$C$69</c:f>
              <c:numCache>
                <c:formatCode>"₹"\ #,##0.00</c:formatCode>
                <c:ptCount val="5"/>
                <c:pt idx="1">
                  <c:v>24000</c:v>
                </c:pt>
                <c:pt idx="2">
                  <c:v>27000</c:v>
                </c:pt>
                <c:pt idx="3">
                  <c:v>30000</c:v>
                </c:pt>
                <c:pt idx="4">
                  <c:v>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0-4BCB-9DBC-D057EC9E4CCB}"/>
            </c:ext>
          </c:extLst>
        </c:ser>
        <c:ser>
          <c:idx val="2"/>
          <c:order val="2"/>
          <c:tx>
            <c:strRef>
              <c:f>'Chart &amp; Analysis'!$D$64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&amp; Analysis'!$A$65:$A$69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'Chart &amp; Analysis'!$D$65:$D$69</c:f>
              <c:numCache>
                <c:formatCode>"₹"\ #,##0.00</c:formatCode>
                <c:ptCount val="5"/>
                <c:pt idx="1">
                  <c:v>15150</c:v>
                </c:pt>
                <c:pt idx="2">
                  <c:v>17137.5</c:v>
                </c:pt>
                <c:pt idx="3">
                  <c:v>19125</c:v>
                </c:pt>
                <c:pt idx="4">
                  <c:v>21862.5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A0-4BCB-9DBC-D057EC9E4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070431"/>
        <c:axId val="1319118927"/>
      </c:lineChart>
      <c:catAx>
        <c:axId val="16060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18927"/>
        <c:crosses val="autoZero"/>
        <c:auto val="1"/>
        <c:lblAlgn val="ctr"/>
        <c:lblOffset val="100"/>
        <c:noMultiLvlLbl val="0"/>
      </c:catAx>
      <c:valAx>
        <c:axId val="131911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7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57150</xdr:rowOff>
    </xdr:from>
    <xdr:to>
      <xdr:col>10</xdr:col>
      <xdr:colOff>388620</xdr:colOff>
      <xdr:row>10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93F03-761D-C674-C6D5-1D8EC5266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</xdr:colOff>
      <xdr:row>11</xdr:row>
      <xdr:rowOff>156210</xdr:rowOff>
    </xdr:from>
    <xdr:to>
      <xdr:col>11</xdr:col>
      <xdr:colOff>373380</xdr:colOff>
      <xdr:row>26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4AD359-9944-38CF-FB21-E134ABE1F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243840</xdr:colOff>
      <xdr:row>27</xdr:row>
      <xdr:rowOff>156210</xdr:rowOff>
    </xdr:from>
    <xdr:to>
      <xdr:col>11</xdr:col>
      <xdr:colOff>548640</xdr:colOff>
      <xdr:row>42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D5B851-5079-C021-7173-C847062FB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182880</xdr:colOff>
      <xdr:row>44</xdr:row>
      <xdr:rowOff>171450</xdr:rowOff>
    </xdr:from>
    <xdr:to>
      <xdr:col>11</xdr:col>
      <xdr:colOff>487680</xdr:colOff>
      <xdr:row>59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4767DD-5777-56D4-3F76-663F8C08C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281940</xdr:colOff>
      <xdr:row>62</xdr:row>
      <xdr:rowOff>118110</xdr:rowOff>
    </xdr:from>
    <xdr:to>
      <xdr:col>12</xdr:col>
      <xdr:colOff>586740</xdr:colOff>
      <xdr:row>77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4A0A0-5A94-A347-DD0C-F9FDE6C91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40D53-7A31-4ACE-B50D-98075264C15C}" name="Table1" displayName="Table1" ref="A4:B8" totalsRowShown="0">
  <autoFilter ref="A4:B8" xr:uid="{74840D53-7A31-4ACE-B50D-98075264C15C}"/>
  <tableColumns count="2">
    <tableColumn id="1" xr3:uid="{BAF76269-5BBA-4BBC-9134-E0C968A8C2F2}" name="Year"/>
    <tableColumn id="2" xr3:uid="{EBDEE51A-062B-40ED-8407-0AD75B6E337A}" name="Revenue Grow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2FC4-228A-4FC5-BA5A-7AD1B14CEF2E}">
  <dimension ref="A1:G27"/>
  <sheetViews>
    <sheetView topLeftCell="A2" workbookViewId="0">
      <selection activeCell="E20" sqref="E20"/>
    </sheetView>
  </sheetViews>
  <sheetFormatPr defaultRowHeight="14.4" x14ac:dyDescent="0.3"/>
  <cols>
    <col min="1" max="1" width="43.21875" bestFit="1" customWidth="1"/>
    <col min="2" max="4" width="12" bestFit="1" customWidth="1"/>
    <col min="5" max="6" width="12.6640625" bestFit="1" customWidth="1"/>
  </cols>
  <sheetData>
    <row r="1" spans="1:7" x14ac:dyDescent="0.3">
      <c r="A1" t="s">
        <v>0</v>
      </c>
    </row>
    <row r="3" spans="1:7" x14ac:dyDescent="0.3">
      <c r="A3" t="s">
        <v>1</v>
      </c>
      <c r="B3">
        <v>2020</v>
      </c>
      <c r="C3">
        <v>2021</v>
      </c>
      <c r="D3">
        <v>2022</v>
      </c>
      <c r="E3">
        <v>2023</v>
      </c>
      <c r="F3">
        <v>2024</v>
      </c>
    </row>
    <row r="4" spans="1:7" x14ac:dyDescent="0.3">
      <c r="A4" t="s">
        <v>2</v>
      </c>
      <c r="B4" s="2">
        <v>78000</v>
      </c>
      <c r="C4" s="2">
        <v>84000</v>
      </c>
      <c r="D4" s="2">
        <v>92000</v>
      </c>
      <c r="E4" s="2">
        <v>101000</v>
      </c>
      <c r="F4" s="2">
        <v>112000</v>
      </c>
    </row>
    <row r="5" spans="1:7" x14ac:dyDescent="0.3">
      <c r="A5" t="s">
        <v>3</v>
      </c>
      <c r="B5" s="2">
        <v>56000</v>
      </c>
      <c r="C5" s="2">
        <v>60000</v>
      </c>
      <c r="D5" s="2">
        <v>65000</v>
      </c>
      <c r="E5" s="2">
        <v>71000</v>
      </c>
      <c r="F5" s="2">
        <v>78000</v>
      </c>
    </row>
    <row r="6" spans="1:7" x14ac:dyDescent="0.3">
      <c r="A6" t="s">
        <v>4</v>
      </c>
      <c r="B6" s="2">
        <v>3200</v>
      </c>
      <c r="C6" s="2">
        <v>3400</v>
      </c>
      <c r="D6" s="2">
        <v>3700</v>
      </c>
      <c r="E6" s="2">
        <v>4000</v>
      </c>
      <c r="F6" s="2">
        <v>4300</v>
      </c>
    </row>
    <row r="7" spans="1:7" x14ac:dyDescent="0.3">
      <c r="A7" t="s">
        <v>5</v>
      </c>
      <c r="B7" s="2">
        <v>400</v>
      </c>
      <c r="C7" s="2">
        <v>400</v>
      </c>
      <c r="D7" s="2">
        <v>450</v>
      </c>
      <c r="E7" s="2">
        <v>500</v>
      </c>
      <c r="F7" s="2">
        <v>550</v>
      </c>
    </row>
    <row r="8" spans="1:7" x14ac:dyDescent="0.3">
      <c r="A8" t="s">
        <v>6</v>
      </c>
      <c r="B8" s="1">
        <v>0.25</v>
      </c>
      <c r="C8" s="1">
        <v>0.25</v>
      </c>
      <c r="D8" s="1">
        <v>0.25</v>
      </c>
      <c r="E8" s="1">
        <v>0.25</v>
      </c>
      <c r="F8" s="1">
        <v>0.25</v>
      </c>
    </row>
    <row r="9" spans="1:7" x14ac:dyDescent="0.3">
      <c r="A9" t="s">
        <v>11</v>
      </c>
    </row>
    <row r="10" spans="1:7" x14ac:dyDescent="0.3">
      <c r="A10" t="s">
        <v>7</v>
      </c>
      <c r="B10" s="2">
        <v>105000</v>
      </c>
      <c r="C10" s="2">
        <v>114000</v>
      </c>
      <c r="D10" s="2">
        <v>124000</v>
      </c>
      <c r="E10" s="2">
        <v>137000</v>
      </c>
      <c r="F10" s="2">
        <v>150000</v>
      </c>
    </row>
    <row r="11" spans="1:7" x14ac:dyDescent="0.3">
      <c r="A11" t="s">
        <v>8</v>
      </c>
      <c r="B11" s="2">
        <v>15000</v>
      </c>
      <c r="C11" s="2">
        <v>16500</v>
      </c>
      <c r="D11" s="2">
        <v>17500</v>
      </c>
      <c r="E11" s="2">
        <v>19000</v>
      </c>
      <c r="F11" s="2">
        <v>20500</v>
      </c>
    </row>
    <row r="12" spans="1:7" x14ac:dyDescent="0.3">
      <c r="A12" t="s">
        <v>9</v>
      </c>
      <c r="B12" s="2">
        <v>9000</v>
      </c>
      <c r="C12" s="2">
        <v>11000</v>
      </c>
      <c r="D12" s="2">
        <v>13500</v>
      </c>
      <c r="E12" s="2">
        <v>16000</v>
      </c>
      <c r="F12" s="2">
        <v>18500</v>
      </c>
    </row>
    <row r="13" spans="1:7" x14ac:dyDescent="0.3">
      <c r="A13" t="s">
        <v>10</v>
      </c>
      <c r="B13" s="2">
        <v>90000</v>
      </c>
      <c r="C13" s="2">
        <v>97500</v>
      </c>
      <c r="D13" s="2">
        <v>106500</v>
      </c>
      <c r="E13" s="2">
        <v>118000</v>
      </c>
      <c r="F13" s="2">
        <v>129500</v>
      </c>
    </row>
    <row r="15" spans="1:7" x14ac:dyDescent="0.3">
      <c r="A15" t="s">
        <v>16</v>
      </c>
      <c r="B15" s="2">
        <f>B4-B5</f>
        <v>22000</v>
      </c>
      <c r="C15" s="2">
        <f t="shared" ref="C15:F15" si="0">C4-C5</f>
        <v>24000</v>
      </c>
      <c r="D15" s="2">
        <f t="shared" si="0"/>
        <v>27000</v>
      </c>
      <c r="E15" s="2">
        <f t="shared" si="0"/>
        <v>30000</v>
      </c>
      <c r="F15" s="2">
        <f t="shared" si="0"/>
        <v>34000</v>
      </c>
    </row>
    <row r="16" spans="1:7" x14ac:dyDescent="0.3">
      <c r="A16" t="s">
        <v>12</v>
      </c>
      <c r="B16" s="2">
        <f>B15-B6</f>
        <v>18800</v>
      </c>
      <c r="C16" s="2">
        <f t="shared" ref="C16:F16" si="1">C15-C6</f>
        <v>20600</v>
      </c>
      <c r="D16" s="2">
        <f t="shared" si="1"/>
        <v>23300</v>
      </c>
      <c r="E16" s="2">
        <f t="shared" si="1"/>
        <v>26000</v>
      </c>
      <c r="F16" s="2">
        <f t="shared" si="1"/>
        <v>29700</v>
      </c>
      <c r="G16" s="2"/>
    </row>
    <row r="17" spans="1:6" x14ac:dyDescent="0.3">
      <c r="A17" t="s">
        <v>13</v>
      </c>
      <c r="B17" s="2">
        <f>B16-B7</f>
        <v>18400</v>
      </c>
      <c r="C17" s="2">
        <f t="shared" ref="C17:F17" si="2">C16-C7</f>
        <v>20200</v>
      </c>
      <c r="D17" s="2">
        <f t="shared" si="2"/>
        <v>22850</v>
      </c>
      <c r="E17" s="2">
        <f t="shared" si="2"/>
        <v>25500</v>
      </c>
      <c r="F17" s="2">
        <f t="shared" si="2"/>
        <v>29150</v>
      </c>
    </row>
    <row r="18" spans="1:6" x14ac:dyDescent="0.3">
      <c r="A18" t="s">
        <v>14</v>
      </c>
      <c r="B18" s="2">
        <f>B17*B8</f>
        <v>4600</v>
      </c>
      <c r="C18" s="2">
        <f t="shared" ref="C18:F18" si="3">C17*C8</f>
        <v>5050</v>
      </c>
      <c r="D18" s="2">
        <f t="shared" si="3"/>
        <v>5712.5</v>
      </c>
      <c r="E18" s="2">
        <f t="shared" si="3"/>
        <v>6375</v>
      </c>
      <c r="F18" s="2">
        <f t="shared" si="3"/>
        <v>7287.5</v>
      </c>
    </row>
    <row r="19" spans="1:6" x14ac:dyDescent="0.3">
      <c r="A19" t="s">
        <v>15</v>
      </c>
      <c r="B19" s="2">
        <f>B17-B18</f>
        <v>13800</v>
      </c>
      <c r="C19" s="2">
        <f t="shared" ref="C19:F19" si="4">C17-C18</f>
        <v>15150</v>
      </c>
      <c r="D19" s="2">
        <f t="shared" si="4"/>
        <v>17137.5</v>
      </c>
      <c r="E19" s="2">
        <f t="shared" si="4"/>
        <v>19125</v>
      </c>
      <c r="F19" s="2">
        <f t="shared" si="4"/>
        <v>21862.5</v>
      </c>
    </row>
    <row r="22" spans="1:6" x14ac:dyDescent="0.3">
      <c r="A22" t="s">
        <v>17</v>
      </c>
      <c r="B22" s="3">
        <v>5.5E-2</v>
      </c>
    </row>
    <row r="23" spans="1:6" x14ac:dyDescent="0.3">
      <c r="A23" t="s">
        <v>18</v>
      </c>
      <c r="B23" s="4">
        <v>0.115</v>
      </c>
    </row>
    <row r="24" spans="1:6" x14ac:dyDescent="0.3">
      <c r="A24" t="s">
        <v>19</v>
      </c>
      <c r="B24">
        <v>1.05</v>
      </c>
    </row>
    <row r="25" spans="1:6" x14ac:dyDescent="0.3">
      <c r="A25" t="s">
        <v>20</v>
      </c>
      <c r="B25" s="11">
        <v>7.4999999999999997E-2</v>
      </c>
    </row>
    <row r="26" spans="1:6" x14ac:dyDescent="0.3">
      <c r="A26" t="s">
        <v>21</v>
      </c>
      <c r="B26">
        <v>380</v>
      </c>
    </row>
    <row r="27" spans="1:6" x14ac:dyDescent="0.3">
      <c r="A27" t="s">
        <v>22</v>
      </c>
      <c r="B27" s="1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50E9-2B58-44FB-854D-21EC6CFB56D4}">
  <dimension ref="A1:F44"/>
  <sheetViews>
    <sheetView topLeftCell="A7" workbookViewId="0">
      <selection activeCell="E47" sqref="E47"/>
    </sheetView>
  </sheetViews>
  <sheetFormatPr defaultRowHeight="14.4" x14ac:dyDescent="0.3"/>
  <cols>
    <col min="1" max="1" width="37.77734375" bestFit="1" customWidth="1"/>
    <col min="2" max="4" width="10.44140625" bestFit="1" customWidth="1"/>
    <col min="5" max="6" width="12" bestFit="1" customWidth="1"/>
  </cols>
  <sheetData>
    <row r="1" spans="1:6" x14ac:dyDescent="0.3">
      <c r="A1" t="s">
        <v>23</v>
      </c>
    </row>
    <row r="2" spans="1:6" x14ac:dyDescent="0.3">
      <c r="A2" t="s">
        <v>1</v>
      </c>
      <c r="B2">
        <v>2020</v>
      </c>
      <c r="C2">
        <v>2021</v>
      </c>
      <c r="D2">
        <v>2022</v>
      </c>
      <c r="E2">
        <v>2023</v>
      </c>
      <c r="F2">
        <v>2024</v>
      </c>
    </row>
    <row r="4" spans="1:6" x14ac:dyDescent="0.3">
      <c r="A4" t="s">
        <v>2</v>
      </c>
      <c r="B4" s="2">
        <f>'Historical  Data'!B4</f>
        <v>78000</v>
      </c>
      <c r="C4" s="2">
        <f>'Historical  Data'!C4</f>
        <v>84000</v>
      </c>
      <c r="D4" s="2">
        <f>'Historical  Data'!D4</f>
        <v>92000</v>
      </c>
      <c r="E4" s="2">
        <f>'Historical  Data'!E4</f>
        <v>101000</v>
      </c>
      <c r="F4" s="2">
        <f>'Historical  Data'!F4</f>
        <v>112000</v>
      </c>
    </row>
    <row r="5" spans="1:6" x14ac:dyDescent="0.3">
      <c r="A5" t="s">
        <v>3</v>
      </c>
      <c r="B5" s="2">
        <f>'Historical  Data'!B5</f>
        <v>56000</v>
      </c>
      <c r="C5" s="2">
        <f>'Historical  Data'!C5</f>
        <v>60000</v>
      </c>
      <c r="D5" s="2">
        <f>'Historical  Data'!D5</f>
        <v>65000</v>
      </c>
      <c r="E5" s="2">
        <f>'Historical  Data'!E5</f>
        <v>71000</v>
      </c>
      <c r="F5" s="2">
        <f>'Historical  Data'!F5</f>
        <v>78000</v>
      </c>
    </row>
    <row r="6" spans="1:6" x14ac:dyDescent="0.3">
      <c r="A6" t="s">
        <v>4</v>
      </c>
      <c r="B6" s="2">
        <f>'Historical  Data'!B6</f>
        <v>3200</v>
      </c>
      <c r="C6" s="2">
        <f>'Historical  Data'!C6</f>
        <v>3400</v>
      </c>
      <c r="D6" s="2">
        <f>'Historical  Data'!D6</f>
        <v>3700</v>
      </c>
      <c r="E6" s="2">
        <f>'Historical  Data'!E6</f>
        <v>4000</v>
      </c>
      <c r="F6" s="2">
        <f>'Historical  Data'!F6</f>
        <v>4300</v>
      </c>
    </row>
    <row r="7" spans="1:6" x14ac:dyDescent="0.3">
      <c r="A7" t="s">
        <v>24</v>
      </c>
      <c r="B7" s="2">
        <f>'Historical  Data'!B7</f>
        <v>400</v>
      </c>
      <c r="C7" s="2">
        <f>'Historical  Data'!C7</f>
        <v>400</v>
      </c>
      <c r="D7" s="2">
        <f>'Historical  Data'!D7</f>
        <v>450</v>
      </c>
      <c r="E7" s="2">
        <f>'Historical  Data'!E7</f>
        <v>500</v>
      </c>
      <c r="F7" s="2">
        <f>'Historical  Data'!F7</f>
        <v>550</v>
      </c>
    </row>
    <row r="8" spans="1:6" x14ac:dyDescent="0.3">
      <c r="A8" t="s">
        <v>16</v>
      </c>
      <c r="B8" s="2">
        <f>'Historical  Data'!B15</f>
        <v>22000</v>
      </c>
      <c r="C8" s="2">
        <f>'Historical  Data'!C15</f>
        <v>24000</v>
      </c>
      <c r="D8" s="2">
        <f>'Historical  Data'!D15</f>
        <v>27000</v>
      </c>
      <c r="E8" s="2">
        <f>'Historical  Data'!E15</f>
        <v>30000</v>
      </c>
      <c r="F8" s="2">
        <f>'Historical  Data'!F15</f>
        <v>34000</v>
      </c>
    </row>
    <row r="9" spans="1:6" x14ac:dyDescent="0.3">
      <c r="A9" t="s">
        <v>12</v>
      </c>
      <c r="B9" s="2">
        <f>'Historical  Data'!B16</f>
        <v>18800</v>
      </c>
      <c r="C9" s="2">
        <f>'Historical  Data'!C16</f>
        <v>20600</v>
      </c>
      <c r="D9" s="2">
        <f>'Historical  Data'!D16</f>
        <v>23300</v>
      </c>
      <c r="E9" s="2">
        <f>'Historical  Data'!E16</f>
        <v>26000</v>
      </c>
      <c r="F9" s="2">
        <f>'Historical  Data'!F16</f>
        <v>29700</v>
      </c>
    </row>
    <row r="10" spans="1:6" x14ac:dyDescent="0.3">
      <c r="A10" t="s">
        <v>15</v>
      </c>
      <c r="B10" s="2">
        <f>'Historical  Data'!B19</f>
        <v>13800</v>
      </c>
      <c r="C10" s="2">
        <f>'Historical  Data'!C19</f>
        <v>15150</v>
      </c>
      <c r="D10" s="2">
        <f>'Historical  Data'!D19</f>
        <v>17137.5</v>
      </c>
      <c r="E10" s="2">
        <f>'Historical  Data'!E19</f>
        <v>19125</v>
      </c>
      <c r="F10" s="2">
        <f>'Historical  Data'!F19</f>
        <v>21862.5</v>
      </c>
    </row>
    <row r="14" spans="1:6" x14ac:dyDescent="0.3">
      <c r="A14" s="5" t="s">
        <v>25</v>
      </c>
    </row>
    <row r="15" spans="1:6" x14ac:dyDescent="0.3">
      <c r="A15" t="s">
        <v>2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</row>
    <row r="16" spans="1:6" x14ac:dyDescent="0.3">
      <c r="A16" t="s">
        <v>3</v>
      </c>
      <c r="B16" s="3">
        <f>B5/$B$4</f>
        <v>0.71794871794871795</v>
      </c>
      <c r="C16" s="3">
        <f>C5/C4</f>
        <v>0.7142857142857143</v>
      </c>
      <c r="D16" s="3">
        <f>D5/D4</f>
        <v>0.70652173913043481</v>
      </c>
      <c r="E16" s="3">
        <f>E5/E4</f>
        <v>0.70297029702970293</v>
      </c>
      <c r="F16" s="3">
        <f>F5/F4</f>
        <v>0.6964285714285714</v>
      </c>
    </row>
    <row r="17" spans="1:6" x14ac:dyDescent="0.3">
      <c r="A17" t="s">
        <v>4</v>
      </c>
      <c r="B17" s="3">
        <f>B6/B4</f>
        <v>4.1025641025641026E-2</v>
      </c>
      <c r="C17" s="3">
        <f>C6/C4</f>
        <v>4.0476190476190478E-2</v>
      </c>
      <c r="D17" s="3">
        <f>D6/D4</f>
        <v>4.0217391304347823E-2</v>
      </c>
      <c r="E17" s="3">
        <f>E6/E4</f>
        <v>3.9603960396039604E-2</v>
      </c>
      <c r="F17" s="3">
        <f>F6/F4</f>
        <v>3.8392857142857145E-2</v>
      </c>
    </row>
    <row r="18" spans="1:6" x14ac:dyDescent="0.3">
      <c r="A18" t="s">
        <v>24</v>
      </c>
      <c r="B18" s="3">
        <f>B7/B4</f>
        <v>5.1282051282051282E-3</v>
      </c>
      <c r="C18" s="3">
        <f>C7/C4</f>
        <v>4.7619047619047623E-3</v>
      </c>
      <c r="D18" s="3">
        <f>D7/D4</f>
        <v>4.8913043478260873E-3</v>
      </c>
      <c r="E18" s="3">
        <f>E7/E4</f>
        <v>4.9504950495049506E-3</v>
      </c>
      <c r="F18" s="3">
        <f>F7/F4</f>
        <v>4.9107142857142856E-3</v>
      </c>
    </row>
    <row r="19" spans="1:6" x14ac:dyDescent="0.3">
      <c r="A19" t="s">
        <v>16</v>
      </c>
      <c r="B19" s="3">
        <f>B8/B4</f>
        <v>0.28205128205128205</v>
      </c>
      <c r="C19" s="3">
        <f>C8/C4</f>
        <v>0.2857142857142857</v>
      </c>
      <c r="D19" s="3">
        <f t="shared" ref="D19:F19" si="0">D8/D4</f>
        <v>0.29347826086956524</v>
      </c>
      <c r="E19" s="3">
        <f t="shared" si="0"/>
        <v>0.29702970297029702</v>
      </c>
      <c r="F19" s="3">
        <f t="shared" si="0"/>
        <v>0.30357142857142855</v>
      </c>
    </row>
    <row r="20" spans="1:6" x14ac:dyDescent="0.3">
      <c r="A20" t="s">
        <v>12</v>
      </c>
      <c r="B20" s="3">
        <f>B9/B4</f>
        <v>0.24102564102564103</v>
      </c>
      <c r="C20" s="3">
        <f t="shared" ref="C20:F20" si="1">C9/C4</f>
        <v>0.24523809523809523</v>
      </c>
      <c r="D20" s="3">
        <f t="shared" si="1"/>
        <v>0.25326086956521737</v>
      </c>
      <c r="E20" s="3">
        <f t="shared" si="1"/>
        <v>0.25742574257425743</v>
      </c>
      <c r="F20" s="3">
        <f t="shared" si="1"/>
        <v>0.26517857142857143</v>
      </c>
    </row>
    <row r="21" spans="1:6" x14ac:dyDescent="0.3">
      <c r="A21" t="s">
        <v>15</v>
      </c>
      <c r="B21" s="3">
        <f>B10/B4</f>
        <v>0.17692307692307693</v>
      </c>
      <c r="C21" s="3">
        <f t="shared" ref="C21:F21" si="2">C10/C4</f>
        <v>0.18035714285714285</v>
      </c>
      <c r="D21" s="3">
        <f t="shared" si="2"/>
        <v>0.18627717391304346</v>
      </c>
      <c r="E21" s="3">
        <f t="shared" si="2"/>
        <v>0.18935643564356436</v>
      </c>
      <c r="F21" s="3">
        <f t="shared" si="2"/>
        <v>0.19520089285714284</v>
      </c>
    </row>
    <row r="22" spans="1:6" x14ac:dyDescent="0.3">
      <c r="A22" s="5" t="s">
        <v>26</v>
      </c>
    </row>
    <row r="23" spans="1:6" x14ac:dyDescent="0.3">
      <c r="A23" t="s">
        <v>27</v>
      </c>
      <c r="B23" t="s">
        <v>31</v>
      </c>
      <c r="C23" s="3">
        <f>C4/B4-1</f>
        <v>7.6923076923076872E-2</v>
      </c>
      <c r="D23" s="3">
        <f t="shared" ref="D23:F23" si="3">D4/C4-1</f>
        <v>9.5238095238095344E-2</v>
      </c>
      <c r="E23" s="3">
        <f t="shared" si="3"/>
        <v>9.7826086956521729E-2</v>
      </c>
      <c r="F23" s="3">
        <f t="shared" si="3"/>
        <v>0.10891089108910901</v>
      </c>
    </row>
    <row r="24" spans="1:6" x14ac:dyDescent="0.3">
      <c r="A24" t="s">
        <v>28</v>
      </c>
      <c r="B24" t="s">
        <v>31</v>
      </c>
      <c r="C24" s="3">
        <f>C5/B5-1</f>
        <v>7.1428571428571397E-2</v>
      </c>
      <c r="D24" s="3">
        <f t="shared" ref="D24:F24" si="4">D5/C5-1</f>
        <v>8.3333333333333259E-2</v>
      </c>
      <c r="E24" s="3">
        <f t="shared" si="4"/>
        <v>9.2307692307692202E-2</v>
      </c>
      <c r="F24" s="3">
        <f t="shared" si="4"/>
        <v>9.8591549295774739E-2</v>
      </c>
    </row>
    <row r="25" spans="1:6" x14ac:dyDescent="0.3">
      <c r="A25" t="s">
        <v>29</v>
      </c>
      <c r="B25" t="s">
        <v>31</v>
      </c>
      <c r="C25" s="3">
        <f>C8/B8-1</f>
        <v>9.0909090909090828E-2</v>
      </c>
      <c r="D25" s="3">
        <f t="shared" ref="D25:F25" si="5">D8/C8-1</f>
        <v>0.125</v>
      </c>
      <c r="E25" s="3">
        <f t="shared" si="5"/>
        <v>0.11111111111111116</v>
      </c>
      <c r="F25" s="3">
        <f t="shared" si="5"/>
        <v>0.1333333333333333</v>
      </c>
    </row>
    <row r="26" spans="1:6" x14ac:dyDescent="0.3">
      <c r="A26" t="s">
        <v>30</v>
      </c>
      <c r="B26" t="s">
        <v>31</v>
      </c>
      <c r="C26" s="3">
        <f>C10/B10-1</f>
        <v>9.7826086956521729E-2</v>
      </c>
      <c r="D26" s="3">
        <f t="shared" ref="D26:F26" si="6">D10/C10-1</f>
        <v>0.13118811881188108</v>
      </c>
      <c r="E26" s="3">
        <f t="shared" si="6"/>
        <v>0.11597374179431075</v>
      </c>
      <c r="F26" s="3">
        <f t="shared" si="6"/>
        <v>0.14313725490196072</v>
      </c>
    </row>
    <row r="28" spans="1:6" x14ac:dyDescent="0.3">
      <c r="A28" s="5" t="s">
        <v>32</v>
      </c>
    </row>
    <row r="29" spans="1:6" x14ac:dyDescent="0.3">
      <c r="A29" t="s">
        <v>33</v>
      </c>
      <c r="B29" s="3">
        <f>B8/B4</f>
        <v>0.28205128205128205</v>
      </c>
      <c r="C29" s="3">
        <f t="shared" ref="C29:F29" si="7">C8/C4</f>
        <v>0.2857142857142857</v>
      </c>
      <c r="D29" s="3">
        <f t="shared" si="7"/>
        <v>0.29347826086956524</v>
      </c>
      <c r="E29" s="3">
        <f t="shared" si="7"/>
        <v>0.29702970297029702</v>
      </c>
      <c r="F29" s="3">
        <f t="shared" si="7"/>
        <v>0.30357142857142855</v>
      </c>
    </row>
    <row r="30" spans="1:6" x14ac:dyDescent="0.3">
      <c r="A30" t="s">
        <v>34</v>
      </c>
      <c r="B30" s="3">
        <f>B10/B4</f>
        <v>0.17692307692307693</v>
      </c>
      <c r="C30" s="3">
        <f t="shared" ref="C30:F30" si="8">C10/C4</f>
        <v>0.18035714285714285</v>
      </c>
      <c r="D30" s="3">
        <f t="shared" si="8"/>
        <v>0.18627717391304346</v>
      </c>
      <c r="E30" s="3">
        <f t="shared" si="8"/>
        <v>0.18935643564356436</v>
      </c>
      <c r="F30" s="3">
        <f t="shared" si="8"/>
        <v>0.19520089285714284</v>
      </c>
    </row>
    <row r="31" spans="1:6" x14ac:dyDescent="0.3">
      <c r="A31" t="s">
        <v>35</v>
      </c>
      <c r="B31" s="3">
        <f>'Historical  Data'!B19/'Historical  Data'!B13</f>
        <v>0.15333333333333332</v>
      </c>
      <c r="C31" s="3">
        <f>'Historical  Data'!C19/'Historical  Data'!C13</f>
        <v>0.15538461538461537</v>
      </c>
      <c r="D31" s="3">
        <f>'Historical  Data'!D19/'Historical  Data'!D13</f>
        <v>0.16091549295774649</v>
      </c>
      <c r="E31" s="3">
        <f>'Historical  Data'!E19/'Historical  Data'!E13</f>
        <v>0.16207627118644069</v>
      </c>
      <c r="F31" s="3">
        <f>'Historical  Data'!F19/'Historical  Data'!F13</f>
        <v>0.16882239382239383</v>
      </c>
    </row>
    <row r="32" spans="1:6" x14ac:dyDescent="0.3">
      <c r="A32" t="s">
        <v>36</v>
      </c>
      <c r="B32" s="6">
        <f>'Historical  Data'!B11/'Historical  Data'!B13</f>
        <v>0.16666666666666666</v>
      </c>
      <c r="C32" s="6">
        <f>'Historical  Data'!C11/'Historical  Data'!C13</f>
        <v>0.16923076923076924</v>
      </c>
      <c r="D32" s="6">
        <f>'Historical  Data'!D11/'Historical  Data'!D13</f>
        <v>0.16431924882629109</v>
      </c>
      <c r="E32" s="6">
        <f>'Historical  Data'!E11/'Historical  Data'!E13</f>
        <v>0.16101694915254236</v>
      </c>
      <c r="F32" s="6">
        <f>'Historical  Data'!F11/'Historical  Data'!F13</f>
        <v>0.15830115830115829</v>
      </c>
    </row>
    <row r="33" spans="1:6" x14ac:dyDescent="0.3">
      <c r="A33" t="s">
        <v>37</v>
      </c>
      <c r="B33">
        <f>B9/B7</f>
        <v>47</v>
      </c>
      <c r="C33">
        <f t="shared" ref="C33:F33" si="9">C9/C7</f>
        <v>51.5</v>
      </c>
      <c r="D33" s="6">
        <f t="shared" si="9"/>
        <v>51.777777777777779</v>
      </c>
      <c r="E33">
        <f t="shared" si="9"/>
        <v>52</v>
      </c>
      <c r="F33">
        <f t="shared" si="9"/>
        <v>54</v>
      </c>
    </row>
    <row r="35" spans="1:6" x14ac:dyDescent="0.3">
      <c r="A35" t="s">
        <v>38</v>
      </c>
    </row>
    <row r="36" spans="1:6" x14ac:dyDescent="0.3">
      <c r="A36" t="s">
        <v>39</v>
      </c>
      <c r="B36" s="6">
        <f>B4/'Historical  Data'!B10</f>
        <v>0.74285714285714288</v>
      </c>
      <c r="C36" s="6">
        <f>C4/'Historical  Data'!C10</f>
        <v>0.73684210526315785</v>
      </c>
      <c r="D36" s="6">
        <f>D4/'Historical  Data'!D10</f>
        <v>0.74193548387096775</v>
      </c>
      <c r="E36" s="6">
        <f>E4/'Historical  Data'!E10</f>
        <v>0.73722627737226276</v>
      </c>
      <c r="F36" s="6">
        <f>F4/'Historical  Data'!F10</f>
        <v>0.7466666666666667</v>
      </c>
    </row>
    <row r="37" spans="1:6" x14ac:dyDescent="0.3">
      <c r="A37" t="s">
        <v>40</v>
      </c>
      <c r="B37" s="3">
        <f>'Historical  Data'!B11/'Historical  Data'!B10</f>
        <v>0.14285714285714285</v>
      </c>
      <c r="C37" s="3">
        <f>'Historical  Data'!C11/'Historical  Data'!C10</f>
        <v>0.14473684210526316</v>
      </c>
      <c r="D37" s="3">
        <f>'Historical  Data'!D11/'Historical  Data'!D10</f>
        <v>0.14112903225806453</v>
      </c>
      <c r="E37" s="3">
        <f>'Historical  Data'!E11/'Historical  Data'!E10</f>
        <v>0.13868613138686131</v>
      </c>
      <c r="F37" s="3">
        <f>'Historical  Data'!F11/'Historical  Data'!F10</f>
        <v>0.13666666666666666</v>
      </c>
    </row>
    <row r="38" spans="1:6" x14ac:dyDescent="0.3">
      <c r="A38" t="s">
        <v>41</v>
      </c>
      <c r="B38" t="s">
        <v>31</v>
      </c>
      <c r="C38" t="s">
        <v>31</v>
      </c>
      <c r="D38" t="s">
        <v>31</v>
      </c>
      <c r="E38" t="s">
        <v>31</v>
      </c>
      <c r="F38" t="s">
        <v>31</v>
      </c>
    </row>
    <row r="39" spans="1:6" x14ac:dyDescent="0.3">
      <c r="A39" t="s">
        <v>42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</row>
    <row r="41" spans="1:6" x14ac:dyDescent="0.3">
      <c r="A41" s="7" t="s">
        <v>43</v>
      </c>
    </row>
    <row r="42" spans="1:6" x14ac:dyDescent="0.3">
      <c r="A42" t="s">
        <v>44</v>
      </c>
      <c r="B42" s="8">
        <f>B4/$B$4*100</f>
        <v>100</v>
      </c>
      <c r="C42" s="8">
        <f t="shared" ref="C42:F42" si="10">C4/$B$4*100</f>
        <v>107.69230769230769</v>
      </c>
      <c r="D42" s="8">
        <f t="shared" si="10"/>
        <v>117.94871794871796</v>
      </c>
      <c r="E42" s="8">
        <f t="shared" si="10"/>
        <v>129.4871794871795</v>
      </c>
      <c r="F42" s="8">
        <f t="shared" si="10"/>
        <v>143.58974358974359</v>
      </c>
    </row>
    <row r="43" spans="1:6" x14ac:dyDescent="0.3">
      <c r="A43" t="s">
        <v>46</v>
      </c>
      <c r="B43" s="8">
        <f>100</f>
        <v>100</v>
      </c>
      <c r="C43" s="8">
        <f>C8/$B$8*100</f>
        <v>109.09090909090908</v>
      </c>
      <c r="D43" s="8">
        <f t="shared" ref="D43:F43" si="11">D8/$B$8*100</f>
        <v>122.72727272727273</v>
      </c>
      <c r="E43" s="8">
        <f t="shared" si="11"/>
        <v>136.36363636363635</v>
      </c>
      <c r="F43" s="8">
        <f t="shared" si="11"/>
        <v>154.54545454545453</v>
      </c>
    </row>
    <row r="44" spans="1:6" x14ac:dyDescent="0.3">
      <c r="A44" t="s">
        <v>45</v>
      </c>
      <c r="B44" s="8">
        <f>B10/$B$10*100</f>
        <v>100</v>
      </c>
      <c r="C44" s="8">
        <f t="shared" ref="C44:F44" si="12">C10/$B$10*100</f>
        <v>109.78260869565217</v>
      </c>
      <c r="D44" s="8">
        <f t="shared" si="12"/>
        <v>124.18478260869566</v>
      </c>
      <c r="E44" s="8">
        <f t="shared" si="12"/>
        <v>138.58695652173913</v>
      </c>
      <c r="F44" s="8">
        <f t="shared" si="12"/>
        <v>158.42391304347828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0DEC-F029-4863-920A-561606216805}">
  <dimension ref="A1:F31"/>
  <sheetViews>
    <sheetView topLeftCell="A17" workbookViewId="0">
      <selection activeCell="A32" sqref="A32"/>
    </sheetView>
  </sheetViews>
  <sheetFormatPr defaultRowHeight="14.4" x14ac:dyDescent="0.3"/>
  <cols>
    <col min="1" max="1" width="38.6640625" bestFit="1" customWidth="1"/>
    <col min="2" max="4" width="12.6640625" bestFit="1" customWidth="1"/>
    <col min="5" max="6" width="12.77734375" bestFit="1" customWidth="1"/>
  </cols>
  <sheetData>
    <row r="1" spans="1:6" x14ac:dyDescent="0.3">
      <c r="A1" s="5" t="s">
        <v>47</v>
      </c>
    </row>
    <row r="3" spans="1:6" x14ac:dyDescent="0.3">
      <c r="A3" t="s">
        <v>1</v>
      </c>
      <c r="B3">
        <v>2020</v>
      </c>
      <c r="C3">
        <v>2021</v>
      </c>
      <c r="D3">
        <v>2022</v>
      </c>
      <c r="E3">
        <v>2023</v>
      </c>
      <c r="F3">
        <v>2024</v>
      </c>
    </row>
    <row r="5" spans="1:6" x14ac:dyDescent="0.3">
      <c r="A5" s="5" t="s">
        <v>48</v>
      </c>
    </row>
    <row r="6" spans="1:6" x14ac:dyDescent="0.3">
      <c r="A6" t="s">
        <v>2</v>
      </c>
      <c r="B6" s="9">
        <f>'Historical  Data'!B4</f>
        <v>78000</v>
      </c>
      <c r="C6" s="9">
        <f>'Historical  Data'!C4</f>
        <v>84000</v>
      </c>
      <c r="D6" s="9">
        <f>'Historical  Data'!D4</f>
        <v>92000</v>
      </c>
      <c r="E6" s="9">
        <f>'Historical  Data'!E4</f>
        <v>101000</v>
      </c>
      <c r="F6" s="9">
        <f>'Historical  Data'!F4</f>
        <v>112000</v>
      </c>
    </row>
    <row r="7" spans="1:6" x14ac:dyDescent="0.3">
      <c r="A7" t="s">
        <v>3</v>
      </c>
      <c r="B7" s="9">
        <f>'Historical  Data'!B5</f>
        <v>56000</v>
      </c>
      <c r="C7" s="9">
        <f>'Historical  Data'!C5</f>
        <v>60000</v>
      </c>
      <c r="D7" s="9">
        <f>'Historical  Data'!D5</f>
        <v>65000</v>
      </c>
      <c r="E7" s="9">
        <f>'Historical  Data'!E5</f>
        <v>71000</v>
      </c>
      <c r="F7" s="9">
        <f>'Historical  Data'!F5</f>
        <v>78000</v>
      </c>
    </row>
    <row r="8" spans="1:6" x14ac:dyDescent="0.3">
      <c r="A8" t="s">
        <v>16</v>
      </c>
      <c r="B8" s="9">
        <f>'Historical  Data'!B15</f>
        <v>22000</v>
      </c>
      <c r="C8" s="9">
        <f>'Historical  Data'!C15</f>
        <v>24000</v>
      </c>
      <c r="D8" s="9">
        <f>'Historical  Data'!D15</f>
        <v>27000</v>
      </c>
      <c r="E8" s="9">
        <f>'Historical  Data'!E15</f>
        <v>30000</v>
      </c>
      <c r="F8" s="9">
        <f>'Historical  Data'!F15</f>
        <v>34000</v>
      </c>
    </row>
    <row r="9" spans="1:6" x14ac:dyDescent="0.3">
      <c r="A9" t="s">
        <v>4</v>
      </c>
      <c r="B9" s="9">
        <f>'Historical  Data'!B6</f>
        <v>3200</v>
      </c>
      <c r="C9" s="9">
        <f>'Historical  Data'!C6</f>
        <v>3400</v>
      </c>
      <c r="D9" s="9">
        <f>'Historical  Data'!D6</f>
        <v>3700</v>
      </c>
      <c r="E9" s="9">
        <f>'Historical  Data'!E6</f>
        <v>4000</v>
      </c>
      <c r="F9" s="9">
        <f>'Historical  Data'!F6</f>
        <v>4300</v>
      </c>
    </row>
    <row r="10" spans="1:6" x14ac:dyDescent="0.3">
      <c r="A10" t="s">
        <v>12</v>
      </c>
      <c r="B10" s="9">
        <f>'Historical  Data'!B16</f>
        <v>18800</v>
      </c>
      <c r="C10" s="9">
        <f>'Historical  Data'!C16</f>
        <v>20600</v>
      </c>
      <c r="D10" s="9">
        <f>'Historical  Data'!D16</f>
        <v>23300</v>
      </c>
      <c r="E10" s="9">
        <f>'Historical  Data'!E16</f>
        <v>26000</v>
      </c>
      <c r="F10" s="9">
        <f>'Historical  Data'!F16</f>
        <v>29700</v>
      </c>
    </row>
    <row r="11" spans="1:6" x14ac:dyDescent="0.3">
      <c r="A11" t="s">
        <v>24</v>
      </c>
      <c r="B11" s="9">
        <f>'Historical  Data'!B7</f>
        <v>400</v>
      </c>
      <c r="C11" s="9">
        <f>'Historical  Data'!C7</f>
        <v>400</v>
      </c>
      <c r="D11" s="9">
        <f>'Historical  Data'!D7</f>
        <v>450</v>
      </c>
      <c r="E11" s="9">
        <f>'Historical  Data'!E7</f>
        <v>500</v>
      </c>
      <c r="F11" s="9">
        <f>'Historical  Data'!F7</f>
        <v>550</v>
      </c>
    </row>
    <row r="12" spans="1:6" x14ac:dyDescent="0.3">
      <c r="A12" t="s">
        <v>13</v>
      </c>
      <c r="B12" s="9">
        <f>'Historical  Data'!B17</f>
        <v>18400</v>
      </c>
      <c r="C12" s="9">
        <f>'Historical  Data'!C17</f>
        <v>20200</v>
      </c>
      <c r="D12" s="9">
        <f>'Historical  Data'!D17</f>
        <v>22850</v>
      </c>
      <c r="E12" s="9">
        <f>'Historical  Data'!E17</f>
        <v>25500</v>
      </c>
      <c r="F12" s="9">
        <f>'Historical  Data'!F17</f>
        <v>29150</v>
      </c>
    </row>
    <row r="13" spans="1:6" x14ac:dyDescent="0.3">
      <c r="A13" t="s">
        <v>14</v>
      </c>
      <c r="B13" s="9">
        <f>'Historical  Data'!B18</f>
        <v>4600</v>
      </c>
      <c r="C13" s="9">
        <f>'Historical  Data'!C18</f>
        <v>5050</v>
      </c>
      <c r="D13" s="9">
        <f>'Historical  Data'!D18</f>
        <v>5712.5</v>
      </c>
      <c r="E13" s="9">
        <f>'Historical  Data'!E18</f>
        <v>6375</v>
      </c>
      <c r="F13" s="9">
        <f>'Historical  Data'!F18</f>
        <v>7287.5</v>
      </c>
    </row>
    <row r="14" spans="1:6" x14ac:dyDescent="0.3">
      <c r="A14" t="s">
        <v>49</v>
      </c>
      <c r="B14" s="9">
        <f>'Historical  Data'!B19</f>
        <v>13800</v>
      </c>
      <c r="C14" s="9">
        <f>'Historical  Data'!C19</f>
        <v>15150</v>
      </c>
      <c r="D14" s="9">
        <f>'Historical  Data'!D19</f>
        <v>17137.5</v>
      </c>
      <c r="E14" s="9">
        <f>'Historical  Data'!E19</f>
        <v>19125</v>
      </c>
      <c r="F14" s="9">
        <f>'Historical  Data'!F19</f>
        <v>21862.5</v>
      </c>
    </row>
    <row r="16" spans="1:6" x14ac:dyDescent="0.3">
      <c r="A16" t="s">
        <v>50</v>
      </c>
    </row>
    <row r="17" spans="1:6" x14ac:dyDescent="0.3">
      <c r="A17" t="s">
        <v>51</v>
      </c>
      <c r="B17" t="s">
        <v>31</v>
      </c>
    </row>
    <row r="18" spans="1:6" x14ac:dyDescent="0.3">
      <c r="A18" t="s">
        <v>49</v>
      </c>
      <c r="B18" s="9">
        <f>B14</f>
        <v>13800</v>
      </c>
      <c r="C18" s="9">
        <f t="shared" ref="C18:F18" si="0">C14</f>
        <v>15150</v>
      </c>
      <c r="D18" s="9">
        <f t="shared" si="0"/>
        <v>17137.5</v>
      </c>
      <c r="E18" s="9">
        <f t="shared" si="0"/>
        <v>19125</v>
      </c>
      <c r="F18" s="9">
        <f t="shared" si="0"/>
        <v>21862.5</v>
      </c>
    </row>
    <row r="19" spans="1:6" x14ac:dyDescent="0.3">
      <c r="A19" t="s">
        <v>52</v>
      </c>
      <c r="B19" t="s">
        <v>31</v>
      </c>
    </row>
    <row r="20" spans="1:6" x14ac:dyDescent="0.3">
      <c r="A20" t="s">
        <v>53</v>
      </c>
      <c r="B20" t="s">
        <v>31</v>
      </c>
    </row>
    <row r="22" spans="1:6" x14ac:dyDescent="0.3">
      <c r="A22" s="5" t="s">
        <v>54</v>
      </c>
    </row>
    <row r="23" spans="1:6" x14ac:dyDescent="0.3">
      <c r="A23" t="s">
        <v>55</v>
      </c>
      <c r="B23" s="9">
        <f>'Historical  Data'!B10</f>
        <v>105000</v>
      </c>
      <c r="C23" s="9">
        <f>'Historical  Data'!C10</f>
        <v>114000</v>
      </c>
      <c r="D23" s="9">
        <f>'Historical  Data'!D10</f>
        <v>124000</v>
      </c>
      <c r="E23" s="9">
        <f>'Historical  Data'!E10</f>
        <v>137000</v>
      </c>
      <c r="F23" s="9">
        <f>'Historical  Data'!F10</f>
        <v>150000</v>
      </c>
    </row>
    <row r="24" spans="1:6" x14ac:dyDescent="0.3">
      <c r="A24" t="s">
        <v>8</v>
      </c>
      <c r="B24" s="9">
        <f>'Historical  Data'!B11</f>
        <v>15000</v>
      </c>
      <c r="C24" s="9">
        <f>'Historical  Data'!C11</f>
        <v>16500</v>
      </c>
      <c r="D24" s="9">
        <f>'Historical  Data'!D11</f>
        <v>17500</v>
      </c>
      <c r="E24" s="9">
        <f>'Historical  Data'!E11</f>
        <v>19000</v>
      </c>
      <c r="F24" s="9">
        <f>'Historical  Data'!F11</f>
        <v>20500</v>
      </c>
    </row>
    <row r="25" spans="1:6" x14ac:dyDescent="0.3">
      <c r="A25" t="s">
        <v>9</v>
      </c>
      <c r="B25" s="9">
        <f>'Historical  Data'!B12</f>
        <v>9000</v>
      </c>
      <c r="C25" s="9">
        <f>'Historical  Data'!C12</f>
        <v>11000</v>
      </c>
      <c r="D25" s="9">
        <f>'Historical  Data'!D12</f>
        <v>13500</v>
      </c>
      <c r="E25" s="9">
        <f>'Historical  Data'!E12</f>
        <v>16000</v>
      </c>
      <c r="F25" s="9">
        <f>'Historical  Data'!F12</f>
        <v>18500</v>
      </c>
    </row>
    <row r="26" spans="1:6" x14ac:dyDescent="0.3">
      <c r="A26" t="s">
        <v>10</v>
      </c>
      <c r="B26" s="9">
        <f>'Historical  Data'!B13</f>
        <v>90000</v>
      </c>
      <c r="C26" s="9">
        <f>'Historical  Data'!C13</f>
        <v>97500</v>
      </c>
      <c r="D26" s="9">
        <f>'Historical  Data'!D13</f>
        <v>106500</v>
      </c>
      <c r="E26" s="9">
        <f>'Historical  Data'!E13</f>
        <v>118000</v>
      </c>
      <c r="F26" s="9">
        <f>'Historical  Data'!F13</f>
        <v>129500</v>
      </c>
    </row>
    <row r="28" spans="1:6" x14ac:dyDescent="0.3">
      <c r="A28" s="14" t="s">
        <v>56</v>
      </c>
    </row>
    <row r="29" spans="1:6" x14ac:dyDescent="0.3">
      <c r="A29" s="7" t="s">
        <v>49</v>
      </c>
      <c r="B29" s="9">
        <f>B14</f>
        <v>13800</v>
      </c>
      <c r="C29" s="9">
        <f t="shared" ref="C29:F29" si="1">C14</f>
        <v>15150</v>
      </c>
      <c r="D29" s="9">
        <f t="shared" si="1"/>
        <v>17137.5</v>
      </c>
      <c r="E29" s="9">
        <f t="shared" si="1"/>
        <v>19125</v>
      </c>
      <c r="F29" s="9">
        <f t="shared" si="1"/>
        <v>21862.5</v>
      </c>
    </row>
    <row r="30" spans="1:6" x14ac:dyDescent="0.3">
      <c r="A30" t="s">
        <v>4</v>
      </c>
      <c r="B30" s="9">
        <f>B9</f>
        <v>3200</v>
      </c>
      <c r="C30" s="9">
        <f>C9</f>
        <v>3400</v>
      </c>
      <c r="D30" s="9">
        <f>D9</f>
        <v>3700</v>
      </c>
      <c r="E30" s="9">
        <f>E9</f>
        <v>4000</v>
      </c>
      <c r="F30" s="9">
        <f>F9</f>
        <v>4300</v>
      </c>
    </row>
    <row r="31" spans="1:6" x14ac:dyDescent="0.3">
      <c r="A31" t="s">
        <v>57</v>
      </c>
      <c r="B31" s="9">
        <f>B29+B30</f>
        <v>17000</v>
      </c>
      <c r="C31" s="9">
        <f t="shared" ref="C31:F31" si="2">C29+C30</f>
        <v>18550</v>
      </c>
      <c r="D31" s="9">
        <f t="shared" si="2"/>
        <v>20837.5</v>
      </c>
      <c r="E31" s="9">
        <f t="shared" si="2"/>
        <v>23125</v>
      </c>
      <c r="F31" s="9">
        <f t="shared" si="2"/>
        <v>26162.5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AB74-A532-4C12-A552-9AC0929514A2}">
  <dimension ref="A1:N11"/>
  <sheetViews>
    <sheetView workbookViewId="0">
      <selection activeCell="I17" sqref="I17"/>
    </sheetView>
  </sheetViews>
  <sheetFormatPr defaultRowHeight="14.4" x14ac:dyDescent="0.3"/>
  <cols>
    <col min="1" max="1" width="36.88671875" bestFit="1" customWidth="1"/>
    <col min="2" max="4" width="10.44140625" bestFit="1" customWidth="1"/>
    <col min="5" max="11" width="12" bestFit="1" customWidth="1"/>
    <col min="13" max="13" width="27.33203125" bestFit="1" customWidth="1"/>
    <col min="14" max="14" width="12.109375" bestFit="1" customWidth="1"/>
  </cols>
  <sheetData>
    <row r="1" spans="1:14" x14ac:dyDescent="0.3">
      <c r="A1" s="5" t="s">
        <v>58</v>
      </c>
    </row>
    <row r="2" spans="1:14" x14ac:dyDescent="0.3">
      <c r="A2" s="5"/>
    </row>
    <row r="3" spans="1:14" x14ac:dyDescent="0.3">
      <c r="A3" t="s">
        <v>1</v>
      </c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2026</v>
      </c>
      <c r="I3">
        <v>2027</v>
      </c>
      <c r="J3">
        <v>2028</v>
      </c>
      <c r="K3">
        <v>2029</v>
      </c>
      <c r="M3" s="5" t="s">
        <v>60</v>
      </c>
    </row>
    <row r="4" spans="1:14" x14ac:dyDescent="0.3">
      <c r="M4" t="s">
        <v>27</v>
      </c>
      <c r="N4" s="10">
        <v>0.06</v>
      </c>
    </row>
    <row r="5" spans="1:14" x14ac:dyDescent="0.3">
      <c r="A5" t="s">
        <v>2</v>
      </c>
      <c r="B5" s="2">
        <f>'Historical  Data'!B4</f>
        <v>78000</v>
      </c>
      <c r="C5" s="2">
        <f>'Historical  Data'!C4</f>
        <v>84000</v>
      </c>
      <c r="D5" s="2">
        <f>'Historical  Data'!D4</f>
        <v>92000</v>
      </c>
      <c r="E5" s="2">
        <f>'Historical  Data'!E4</f>
        <v>101000</v>
      </c>
      <c r="F5" s="2">
        <f>'Historical  Data'!F4</f>
        <v>112000</v>
      </c>
      <c r="G5" s="2">
        <f>F5*(1+$N$4)</f>
        <v>118720</v>
      </c>
      <c r="H5" s="2">
        <f t="shared" ref="H5:K5" si="0">G5*(1+$N$4)</f>
        <v>125843.20000000001</v>
      </c>
      <c r="I5" s="2">
        <f t="shared" si="0"/>
        <v>133393.79200000002</v>
      </c>
      <c r="J5" s="2">
        <f t="shared" si="0"/>
        <v>141397.41952000002</v>
      </c>
      <c r="K5" s="2">
        <f t="shared" si="0"/>
        <v>149881.26469120002</v>
      </c>
      <c r="M5" t="s">
        <v>61</v>
      </c>
      <c r="N5" s="11">
        <f>F6/F5</f>
        <v>0.6964285714285714</v>
      </c>
    </row>
    <row r="6" spans="1:14" x14ac:dyDescent="0.3">
      <c r="A6" t="s">
        <v>3</v>
      </c>
      <c r="B6" s="2">
        <f>'Historical  Data'!B5</f>
        <v>56000</v>
      </c>
      <c r="C6" s="2">
        <f>'Historical  Data'!C5</f>
        <v>60000</v>
      </c>
      <c r="D6" s="2">
        <f>'Historical  Data'!D5</f>
        <v>65000</v>
      </c>
      <c r="E6" s="2">
        <f>'Historical  Data'!E5</f>
        <v>71000</v>
      </c>
      <c r="F6" s="2">
        <f>'Historical  Data'!F5</f>
        <v>78000</v>
      </c>
      <c r="G6" s="2">
        <f>G5*$N$5</f>
        <v>82680</v>
      </c>
      <c r="H6" s="2">
        <f t="shared" ref="H6:K6" si="1">H5*$N$5</f>
        <v>87640.8</v>
      </c>
      <c r="I6" s="2">
        <f t="shared" si="1"/>
        <v>92899.248000000007</v>
      </c>
      <c r="J6" s="2">
        <f t="shared" si="1"/>
        <v>98473.202880000012</v>
      </c>
      <c r="K6" s="2">
        <f t="shared" si="1"/>
        <v>104381.59505280001</v>
      </c>
      <c r="M6" t="s">
        <v>62</v>
      </c>
      <c r="N6" s="11">
        <f>F8/F5</f>
        <v>3.8392857142857145E-2</v>
      </c>
    </row>
    <row r="7" spans="1:14" x14ac:dyDescent="0.3">
      <c r="A7" t="s">
        <v>16</v>
      </c>
      <c r="B7" s="2">
        <f>'Historical  Data'!B15</f>
        <v>22000</v>
      </c>
      <c r="C7" s="2">
        <f>'Historical  Data'!C15</f>
        <v>24000</v>
      </c>
      <c r="D7" s="2">
        <f>'Historical  Data'!D15</f>
        <v>27000</v>
      </c>
      <c r="E7" s="2">
        <f>'Historical  Data'!E15</f>
        <v>30000</v>
      </c>
      <c r="F7" s="2">
        <f>'Historical  Data'!F15</f>
        <v>34000</v>
      </c>
      <c r="G7" s="2">
        <f>G5*$N$8</f>
        <v>36040</v>
      </c>
      <c r="H7" s="2">
        <f t="shared" ref="H7:K7" si="2">H5*$N$8</f>
        <v>38202.400000000001</v>
      </c>
      <c r="I7" s="2">
        <f t="shared" si="2"/>
        <v>40494.544000000002</v>
      </c>
      <c r="J7" s="2">
        <f t="shared" si="2"/>
        <v>42924.216640000006</v>
      </c>
      <c r="K7" s="2">
        <f t="shared" si="2"/>
        <v>45499.669638400002</v>
      </c>
      <c r="M7" t="s">
        <v>63</v>
      </c>
      <c r="N7" s="10">
        <v>0.25</v>
      </c>
    </row>
    <row r="8" spans="1:14" x14ac:dyDescent="0.3">
      <c r="A8" t="s">
        <v>4</v>
      </c>
      <c r="B8" s="2">
        <f>'Historical  Data'!B6</f>
        <v>3200</v>
      </c>
      <c r="C8" s="2">
        <f>'Historical  Data'!C6</f>
        <v>3400</v>
      </c>
      <c r="D8" s="2">
        <f>'Historical  Data'!D6</f>
        <v>3700</v>
      </c>
      <c r="E8" s="2">
        <f>'Historical  Data'!E6</f>
        <v>4000</v>
      </c>
      <c r="F8" s="2">
        <f>'Historical  Data'!F6</f>
        <v>4300</v>
      </c>
      <c r="G8" s="2">
        <f>G5*$N$6</f>
        <v>4558</v>
      </c>
      <c r="H8" s="2">
        <f t="shared" ref="H8:K8" si="3">H5*$N$6</f>
        <v>4831.4800000000005</v>
      </c>
      <c r="I8" s="2">
        <f t="shared" si="3"/>
        <v>5121.3688000000011</v>
      </c>
      <c r="J8" s="2">
        <f t="shared" si="3"/>
        <v>5428.6509280000009</v>
      </c>
      <c r="K8" s="2">
        <f t="shared" si="3"/>
        <v>5754.3699836800015</v>
      </c>
      <c r="M8" t="s">
        <v>64</v>
      </c>
      <c r="N8" s="11">
        <f>F7/F5</f>
        <v>0.30357142857142855</v>
      </c>
    </row>
    <row r="9" spans="1:14" x14ac:dyDescent="0.3">
      <c r="A9" t="s">
        <v>12</v>
      </c>
      <c r="B9" s="2">
        <f>'Historical  Data'!B16</f>
        <v>18800</v>
      </c>
      <c r="C9" s="2">
        <f>'Historical  Data'!C16</f>
        <v>20600</v>
      </c>
      <c r="D9" s="2">
        <f>'Historical  Data'!D16</f>
        <v>23300</v>
      </c>
      <c r="E9" s="2">
        <f>'Historical  Data'!E16</f>
        <v>26000</v>
      </c>
      <c r="F9" s="2">
        <f>'Historical  Data'!F16</f>
        <v>29700</v>
      </c>
      <c r="G9" s="2">
        <f>G7-G8</f>
        <v>31482</v>
      </c>
      <c r="H9" s="2">
        <f t="shared" ref="H9:K9" si="4">H7-H8</f>
        <v>33370.92</v>
      </c>
      <c r="I9" s="2">
        <f t="shared" si="4"/>
        <v>35373.175199999998</v>
      </c>
      <c r="J9" s="2">
        <f t="shared" si="4"/>
        <v>37495.565712000003</v>
      </c>
      <c r="K9" s="2">
        <f t="shared" si="4"/>
        <v>39745.299654720002</v>
      </c>
    </row>
    <row r="10" spans="1:14" x14ac:dyDescent="0.3">
      <c r="A10" t="s">
        <v>15</v>
      </c>
      <c r="B10" s="2">
        <f>'Historical  Data'!B19</f>
        <v>13800</v>
      </c>
      <c r="C10" s="2">
        <f>'Historical  Data'!C19</f>
        <v>15150</v>
      </c>
      <c r="D10" s="2">
        <f>'Historical  Data'!D19</f>
        <v>17137.5</v>
      </c>
      <c r="E10" s="2">
        <f>'Historical  Data'!E19</f>
        <v>19125</v>
      </c>
      <c r="F10" s="2">
        <f>'Historical  Data'!F19</f>
        <v>21862.5</v>
      </c>
      <c r="G10" s="2">
        <f>(G9-$N$10)*(1-$N$7)</f>
        <v>22458.375</v>
      </c>
      <c r="H10" s="2">
        <f t="shared" ref="H10:K10" si="5">(H9-$N$10)*(1-$N$7)</f>
        <v>23875.064999999999</v>
      </c>
      <c r="I10" s="2">
        <f t="shared" si="5"/>
        <v>25376.756399999998</v>
      </c>
      <c r="J10" s="2">
        <f t="shared" si="5"/>
        <v>26968.549284000001</v>
      </c>
      <c r="K10" s="2">
        <f t="shared" si="5"/>
        <v>28655.849741040001</v>
      </c>
      <c r="M10" t="s">
        <v>65</v>
      </c>
      <c r="N10" s="8">
        <f>'Historical  Data'!F11*'Historical  Data'!B25</f>
        <v>1537.5</v>
      </c>
    </row>
    <row r="11" spans="1:14" x14ac:dyDescent="0.3">
      <c r="A11" t="s">
        <v>59</v>
      </c>
      <c r="B11" s="2">
        <f>B10+B8</f>
        <v>17000</v>
      </c>
      <c r="C11" s="2">
        <f t="shared" ref="C11:F11" si="6">C10+C8</f>
        <v>18550</v>
      </c>
      <c r="D11" s="2">
        <f t="shared" si="6"/>
        <v>20837.5</v>
      </c>
      <c r="E11" s="2">
        <f t="shared" si="6"/>
        <v>23125</v>
      </c>
      <c r="F11" s="2">
        <f t="shared" si="6"/>
        <v>26162.5</v>
      </c>
      <c r="G11" s="2">
        <f>G10+G8</f>
        <v>27016.375</v>
      </c>
      <c r="H11" s="2">
        <f t="shared" ref="H11:K11" si="7">H10+H8</f>
        <v>28706.544999999998</v>
      </c>
      <c r="I11" s="2">
        <f t="shared" si="7"/>
        <v>30498.125199999999</v>
      </c>
      <c r="J11" s="2">
        <f t="shared" si="7"/>
        <v>32397.200212000003</v>
      </c>
      <c r="K11" s="2">
        <f t="shared" si="7"/>
        <v>34410.219724720002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94D0-EC6A-4318-9EFE-764116E9F39E}">
  <dimension ref="A1:F125"/>
  <sheetViews>
    <sheetView tabSelected="1" topLeftCell="A103" workbookViewId="0">
      <selection activeCell="B125" sqref="B125"/>
    </sheetView>
  </sheetViews>
  <sheetFormatPr defaultRowHeight="14.4" x14ac:dyDescent="0.3"/>
  <cols>
    <col min="1" max="1" width="36.21875" bestFit="1" customWidth="1"/>
    <col min="2" max="2" width="12.6640625" bestFit="1" customWidth="1"/>
    <col min="3" max="6" width="11.109375" bestFit="1" customWidth="1"/>
  </cols>
  <sheetData>
    <row r="1" spans="1:6" x14ac:dyDescent="0.3">
      <c r="A1" s="5" t="s">
        <v>66</v>
      </c>
    </row>
    <row r="3" spans="1:6" x14ac:dyDescent="0.3">
      <c r="A3" t="s">
        <v>67</v>
      </c>
      <c r="B3">
        <v>2025</v>
      </c>
      <c r="C3">
        <v>2026</v>
      </c>
      <c r="D3">
        <v>2027</v>
      </c>
      <c r="E3">
        <v>2028</v>
      </c>
      <c r="F3">
        <v>2029</v>
      </c>
    </row>
    <row r="5" spans="1:6" x14ac:dyDescent="0.3">
      <c r="A5" t="s">
        <v>12</v>
      </c>
      <c r="B5" s="2">
        <f>'5 Years Forecast'!G9</f>
        <v>31482</v>
      </c>
      <c r="C5" s="2">
        <f>'5 Years Forecast'!H9</f>
        <v>33370.92</v>
      </c>
      <c r="D5" s="2">
        <f>'5 Years Forecast'!I9</f>
        <v>35373.175199999998</v>
      </c>
      <c r="E5" s="2">
        <f>'5 Years Forecast'!J9</f>
        <v>37495.565712000003</v>
      </c>
      <c r="F5" s="2">
        <f>'5 Years Forecast'!K9</f>
        <v>39745.299654720002</v>
      </c>
    </row>
    <row r="6" spans="1:6" x14ac:dyDescent="0.3">
      <c r="A6" t="s">
        <v>63</v>
      </c>
      <c r="B6" s="10">
        <f>'5 Years Forecast'!N7</f>
        <v>0.25</v>
      </c>
      <c r="C6" s="10">
        <f>B6</f>
        <v>0.25</v>
      </c>
      <c r="D6" s="10">
        <f>C6</f>
        <v>0.25</v>
      </c>
      <c r="E6" s="10">
        <f>D6</f>
        <v>0.25</v>
      </c>
      <c r="F6" s="10">
        <f>E6</f>
        <v>0.25</v>
      </c>
    </row>
    <row r="7" spans="1:6" x14ac:dyDescent="0.3">
      <c r="A7" t="s">
        <v>68</v>
      </c>
      <c r="B7" s="9">
        <f>B5*(1-B6)</f>
        <v>23611.5</v>
      </c>
      <c r="C7" s="9">
        <f t="shared" ref="C7:F7" si="0">C5*(1-C6)</f>
        <v>25028.19</v>
      </c>
      <c r="D7" s="9">
        <f t="shared" si="0"/>
        <v>26529.881399999998</v>
      </c>
      <c r="E7" s="9">
        <f t="shared" si="0"/>
        <v>28121.674284000001</v>
      </c>
      <c r="F7" s="9">
        <f t="shared" si="0"/>
        <v>29808.974741040001</v>
      </c>
    </row>
    <row r="9" spans="1:6" x14ac:dyDescent="0.3">
      <c r="A9" t="s">
        <v>69</v>
      </c>
      <c r="B9" s="2">
        <f>'Financial Analysis'!B6</f>
        <v>3200</v>
      </c>
      <c r="C9" s="2">
        <f>'Financial Analysis'!C6</f>
        <v>3400</v>
      </c>
      <c r="D9" s="2">
        <f>'Financial Analysis'!D6</f>
        <v>3700</v>
      </c>
      <c r="E9" s="2">
        <f>'Financial Analysis'!E6</f>
        <v>4000</v>
      </c>
      <c r="F9" s="2">
        <f>'Financial Analysis'!F6</f>
        <v>4300</v>
      </c>
    </row>
    <row r="10" spans="1:6" x14ac:dyDescent="0.3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72</v>
      </c>
      <c r="B12" s="9">
        <f>B7+B9-B10-B11</f>
        <v>26811.5</v>
      </c>
      <c r="C12" s="9">
        <f t="shared" ref="C12:F12" si="1">C7+C9-C10-C11</f>
        <v>28428.19</v>
      </c>
      <c r="D12" s="9">
        <f t="shared" si="1"/>
        <v>30229.881399999998</v>
      </c>
      <c r="E12" s="9">
        <f t="shared" si="1"/>
        <v>32121.674284000001</v>
      </c>
      <c r="F12" s="9">
        <f t="shared" si="1"/>
        <v>34108.974741040001</v>
      </c>
    </row>
    <row r="15" spans="1:6" x14ac:dyDescent="0.3">
      <c r="A15" t="s">
        <v>73</v>
      </c>
    </row>
    <row r="16" spans="1:6" x14ac:dyDescent="0.3">
      <c r="A16" t="s">
        <v>17</v>
      </c>
      <c r="B16" s="3">
        <f>'Historical  Data'!$B$22</f>
        <v>5.5E-2</v>
      </c>
    </row>
    <row r="17" spans="1:3" x14ac:dyDescent="0.3">
      <c r="A17" t="s">
        <v>74</v>
      </c>
      <c r="B17" s="8">
        <f>'Historical  Data'!$B$24</f>
        <v>1.05</v>
      </c>
    </row>
    <row r="18" spans="1:3" x14ac:dyDescent="0.3">
      <c r="A18" t="s">
        <v>18</v>
      </c>
      <c r="B18" s="3">
        <f>'Historical  Data'!$B$23</f>
        <v>0.115</v>
      </c>
    </row>
    <row r="19" spans="1:3" x14ac:dyDescent="0.3">
      <c r="A19" t="s">
        <v>75</v>
      </c>
      <c r="B19" s="12">
        <f>'DCF Valuation'!B16+'DCF Valuation'!B17*('DCF Valuation'!B18-'DCF Valuation'!B16)</f>
        <v>0.11800000000000002</v>
      </c>
    </row>
    <row r="21" spans="1:3" x14ac:dyDescent="0.3">
      <c r="A21" s="5" t="s">
        <v>76</v>
      </c>
    </row>
    <row r="22" spans="1:3" x14ac:dyDescent="0.3">
      <c r="A22" t="s">
        <v>77</v>
      </c>
      <c r="B22" s="12">
        <f>B19</f>
        <v>0.11800000000000002</v>
      </c>
    </row>
    <row r="23" spans="1:3" x14ac:dyDescent="0.3">
      <c r="A23" t="s">
        <v>20</v>
      </c>
      <c r="B23" s="11">
        <f>'Historical  Data'!B25</f>
        <v>7.4999999999999997E-2</v>
      </c>
    </row>
    <row r="24" spans="1:3" x14ac:dyDescent="0.3">
      <c r="A24" t="s">
        <v>78</v>
      </c>
      <c r="B24" s="9">
        <f>'Historical  Data'!F13</f>
        <v>129500</v>
      </c>
    </row>
    <row r="25" spans="1:3" x14ac:dyDescent="0.3">
      <c r="A25" t="s">
        <v>79</v>
      </c>
      <c r="B25" s="9">
        <f>'Historical  Data'!F11</f>
        <v>20500</v>
      </c>
    </row>
    <row r="26" spans="1:3" x14ac:dyDescent="0.3">
      <c r="A26" t="s">
        <v>80</v>
      </c>
      <c r="B26" s="1">
        <f>B22*(B24/(B24+B25))+B23*(B25/(B24+B25))*(1-'Historical  Data'!$B$8)</f>
        <v>0.10956083333333334</v>
      </c>
    </row>
    <row r="28" spans="1:3" x14ac:dyDescent="0.3">
      <c r="A28" s="5" t="s">
        <v>81</v>
      </c>
    </row>
    <row r="29" spans="1:3" x14ac:dyDescent="0.3">
      <c r="A29" t="s">
        <v>82</v>
      </c>
      <c r="B29" s="9">
        <f>F12</f>
        <v>34108.974741040001</v>
      </c>
      <c r="C29" s="15"/>
    </row>
    <row r="30" spans="1:3" x14ac:dyDescent="0.3">
      <c r="A30" t="s">
        <v>83</v>
      </c>
      <c r="B30" s="10">
        <f>'Historical  Data'!B27</f>
        <v>0.06</v>
      </c>
    </row>
    <row r="31" spans="1:3" x14ac:dyDescent="0.3">
      <c r="A31" t="s">
        <v>80</v>
      </c>
      <c r="B31" s="10">
        <f>B26</f>
        <v>0.10956083333333334</v>
      </c>
    </row>
    <row r="32" spans="1:3" x14ac:dyDescent="0.3">
      <c r="A32" t="s">
        <v>84</v>
      </c>
      <c r="B32" s="9">
        <f>B29*(1+B30)/(B31-B30)</f>
        <v>729517.86307404819</v>
      </c>
    </row>
    <row r="34" spans="1:6" x14ac:dyDescent="0.3">
      <c r="A34" s="5" t="s">
        <v>85</v>
      </c>
    </row>
    <row r="35" spans="1:6" x14ac:dyDescent="0.3">
      <c r="A35" t="s">
        <v>86</v>
      </c>
    </row>
    <row r="36" spans="1:6" x14ac:dyDescent="0.3">
      <c r="A36" t="s">
        <v>87</v>
      </c>
    </row>
    <row r="37" spans="1:6" x14ac:dyDescent="0.3">
      <c r="A37" s="5" t="s">
        <v>88</v>
      </c>
    </row>
    <row r="38" spans="1:6" x14ac:dyDescent="0.3">
      <c r="A38" t="s">
        <v>89</v>
      </c>
    </row>
    <row r="40" spans="1:6" x14ac:dyDescent="0.3">
      <c r="A40" t="s">
        <v>90</v>
      </c>
      <c r="B40">
        <v>1</v>
      </c>
      <c r="C40">
        <v>2</v>
      </c>
      <c r="D40">
        <v>3</v>
      </c>
      <c r="E40">
        <v>4</v>
      </c>
      <c r="F40">
        <v>5</v>
      </c>
    </row>
    <row r="41" spans="1:6" x14ac:dyDescent="0.3">
      <c r="A41" t="s">
        <v>89</v>
      </c>
      <c r="B41" s="4">
        <f>1/(1+$B$26)^B40</f>
        <v>0.90125747949826995</v>
      </c>
      <c r="C41" s="4">
        <f t="shared" ref="C41:F41" si="2">1/(1+$B$26)^C40</f>
        <v>0.81226504435157443</v>
      </c>
      <c r="D41" s="4">
        <f t="shared" si="2"/>
        <v>0.73205994655685047</v>
      </c>
      <c r="E41" s="4">
        <f t="shared" si="2"/>
        <v>0.65977450227546519</v>
      </c>
      <c r="F41" s="4">
        <f t="shared" si="2"/>
        <v>0.5946267049580114</v>
      </c>
    </row>
    <row r="42" spans="1:6" x14ac:dyDescent="0.3">
      <c r="A42" t="s">
        <v>91</v>
      </c>
      <c r="B42" s="9">
        <f>B12*B41</f>
        <v>24164.064911567864</v>
      </c>
      <c r="C42" s="9">
        <f t="shared" ref="C42:F42" si="3">C12*C41</f>
        <v>23091.225011184983</v>
      </c>
      <c r="D42" s="9">
        <f t="shared" si="3"/>
        <v>22130.085362103928</v>
      </c>
      <c r="E42" s="9">
        <f t="shared" si="3"/>
        <v>21193.061662980712</v>
      </c>
      <c r="F42" s="9">
        <f t="shared" si="3"/>
        <v>20282.107259760654</v>
      </c>
    </row>
    <row r="43" spans="1:6" x14ac:dyDescent="0.3">
      <c r="A43" t="s">
        <v>92</v>
      </c>
      <c r="B43" s="9">
        <f>B32*F41</f>
        <v>433790.80312773102</v>
      </c>
    </row>
    <row r="44" spans="1:6" x14ac:dyDescent="0.3">
      <c r="A44" t="s">
        <v>88</v>
      </c>
      <c r="B44" s="9">
        <f>SUM(B42:F42)+B43</f>
        <v>544651.34733532916</v>
      </c>
    </row>
    <row r="46" spans="1:6" x14ac:dyDescent="0.3">
      <c r="A46" s="5" t="s">
        <v>93</v>
      </c>
    </row>
    <row r="47" spans="1:6" x14ac:dyDescent="0.3">
      <c r="A47" t="s">
        <v>88</v>
      </c>
      <c r="B47" s="9">
        <f>B44</f>
        <v>544651.34733532916</v>
      </c>
    </row>
    <row r="48" spans="1:6" x14ac:dyDescent="0.3">
      <c r="A48" t="s">
        <v>94</v>
      </c>
      <c r="B48">
        <f>'Historical  Data'!F11</f>
        <v>20500</v>
      </c>
    </row>
    <row r="49" spans="1:2" x14ac:dyDescent="0.3">
      <c r="A49" t="s">
        <v>95</v>
      </c>
      <c r="B49">
        <f>'Historical  Data'!F12</f>
        <v>18500</v>
      </c>
    </row>
    <row r="50" spans="1:2" x14ac:dyDescent="0.3">
      <c r="A50" s="5" t="s">
        <v>78</v>
      </c>
      <c r="B50" s="9">
        <f>B47-B48+B49</f>
        <v>542651.34733532916</v>
      </c>
    </row>
    <row r="51" spans="1:2" x14ac:dyDescent="0.3">
      <c r="A51" t="s">
        <v>96</v>
      </c>
      <c r="B51">
        <f>'Historical  Data'!B26</f>
        <v>380</v>
      </c>
    </row>
    <row r="52" spans="1:2" x14ac:dyDescent="0.3">
      <c r="A52" t="s">
        <v>97</v>
      </c>
      <c r="B52" s="9">
        <f>B50/B51</f>
        <v>1428.029861408761</v>
      </c>
    </row>
    <row r="54" spans="1:2" x14ac:dyDescent="0.3">
      <c r="A54" s="5" t="s">
        <v>98</v>
      </c>
    </row>
    <row r="55" spans="1:2" x14ac:dyDescent="0.3">
      <c r="A55" t="s">
        <v>99</v>
      </c>
      <c r="B55" s="2">
        <f>'Historical  Data'!F13</f>
        <v>129500</v>
      </c>
    </row>
    <row r="56" spans="1:2" x14ac:dyDescent="0.3">
      <c r="A56" t="s">
        <v>100</v>
      </c>
      <c r="B56">
        <f>'Historical  Data'!B26</f>
        <v>380</v>
      </c>
    </row>
    <row r="57" spans="1:2" x14ac:dyDescent="0.3">
      <c r="A57" t="s">
        <v>101</v>
      </c>
      <c r="B57" s="9">
        <f>B55/B56</f>
        <v>340.78947368421052</v>
      </c>
    </row>
    <row r="62" spans="1:2" x14ac:dyDescent="0.3">
      <c r="A62" s="5" t="s">
        <v>102</v>
      </c>
    </row>
    <row r="63" spans="1:2" x14ac:dyDescent="0.3">
      <c r="A63" t="s">
        <v>103</v>
      </c>
      <c r="B63" s="2">
        <f>'Historical  Data'!F15</f>
        <v>34000</v>
      </c>
    </row>
    <row r="64" spans="1:2" x14ac:dyDescent="0.3">
      <c r="A64" t="s">
        <v>8</v>
      </c>
      <c r="B64" s="2">
        <f>'Historical  Data'!F11</f>
        <v>20500</v>
      </c>
    </row>
    <row r="65" spans="1:3" x14ac:dyDescent="0.3">
      <c r="A65" t="s">
        <v>9</v>
      </c>
      <c r="B65" s="2">
        <f>'Historical  Data'!F12</f>
        <v>18500</v>
      </c>
    </row>
    <row r="66" spans="1:3" x14ac:dyDescent="0.3">
      <c r="A66" t="s">
        <v>88</v>
      </c>
      <c r="B66" s="2">
        <f>B63+B64-B65</f>
        <v>36000</v>
      </c>
    </row>
    <row r="68" spans="1:3" x14ac:dyDescent="0.3">
      <c r="A68" s="5" t="s">
        <v>104</v>
      </c>
      <c r="B68" s="6">
        <f>B66/B63</f>
        <v>1.0588235294117647</v>
      </c>
    </row>
    <row r="70" spans="1:3" x14ac:dyDescent="0.3">
      <c r="A70" t="s">
        <v>105</v>
      </c>
    </row>
    <row r="71" spans="1:3" x14ac:dyDescent="0.3">
      <c r="A71" t="s">
        <v>106</v>
      </c>
      <c r="B71" t="s">
        <v>107</v>
      </c>
      <c r="C71" t="s">
        <v>108</v>
      </c>
    </row>
    <row r="72" spans="1:3" x14ac:dyDescent="0.3">
      <c r="A72" t="s">
        <v>109</v>
      </c>
      <c r="B72">
        <v>25</v>
      </c>
      <c r="C72">
        <v>30</v>
      </c>
    </row>
    <row r="73" spans="1:3" x14ac:dyDescent="0.3">
      <c r="A73" t="s">
        <v>110</v>
      </c>
      <c r="B73">
        <v>18</v>
      </c>
      <c r="C73">
        <v>22</v>
      </c>
    </row>
    <row r="74" spans="1:3" x14ac:dyDescent="0.3">
      <c r="A74" t="s">
        <v>111</v>
      </c>
      <c r="B74">
        <v>20</v>
      </c>
      <c r="C74">
        <v>24</v>
      </c>
    </row>
    <row r="75" spans="1:3" x14ac:dyDescent="0.3">
      <c r="A75" t="s">
        <v>112</v>
      </c>
      <c r="B75">
        <f>AVERAGE(B72:B74)</f>
        <v>21</v>
      </c>
      <c r="C75" s="13">
        <f>AVERAGE(C72:C74)</f>
        <v>25.333333333333332</v>
      </c>
    </row>
    <row r="77" spans="1:3" x14ac:dyDescent="0.3">
      <c r="A77" s="5" t="s">
        <v>113</v>
      </c>
    </row>
    <row r="78" spans="1:3" x14ac:dyDescent="0.3">
      <c r="A78" t="s">
        <v>114</v>
      </c>
      <c r="B78" s="2">
        <f>B63</f>
        <v>34000</v>
      </c>
    </row>
    <row r="79" spans="1:3" x14ac:dyDescent="0.3">
      <c r="A79" t="s">
        <v>115</v>
      </c>
      <c r="B79">
        <f>B75</f>
        <v>21</v>
      </c>
    </row>
    <row r="80" spans="1:3" x14ac:dyDescent="0.3">
      <c r="A80" t="s">
        <v>116</v>
      </c>
      <c r="B80" s="2">
        <f>B78*B79</f>
        <v>714000</v>
      </c>
    </row>
    <row r="82" spans="1:2" x14ac:dyDescent="0.3">
      <c r="A82" s="5" t="s">
        <v>117</v>
      </c>
    </row>
    <row r="83" spans="1:2" x14ac:dyDescent="0.3">
      <c r="A83" t="s">
        <v>118</v>
      </c>
      <c r="B83" s="2">
        <f>'Historical  Data'!F19</f>
        <v>21862.5</v>
      </c>
    </row>
    <row r="84" spans="1:2" x14ac:dyDescent="0.3">
      <c r="A84" t="s">
        <v>119</v>
      </c>
      <c r="B84" s="13">
        <f>C75</f>
        <v>25.333333333333332</v>
      </c>
    </row>
    <row r="85" spans="1:2" x14ac:dyDescent="0.3">
      <c r="A85" t="s">
        <v>120</v>
      </c>
      <c r="B85" s="9">
        <f>B83*B84</f>
        <v>553850</v>
      </c>
    </row>
    <row r="86" spans="1:2" x14ac:dyDescent="0.3">
      <c r="A86" t="s">
        <v>21</v>
      </c>
      <c r="B86">
        <f>'Historical  Data'!B26</f>
        <v>380</v>
      </c>
    </row>
    <row r="87" spans="1:2" x14ac:dyDescent="0.3">
      <c r="A87" t="s">
        <v>121</v>
      </c>
      <c r="B87" s="9">
        <f>B85/B86</f>
        <v>1457.5</v>
      </c>
    </row>
    <row r="89" spans="1:2" x14ac:dyDescent="0.3">
      <c r="A89" s="5" t="s">
        <v>122</v>
      </c>
    </row>
    <row r="90" spans="1:2" x14ac:dyDescent="0.3">
      <c r="A90" t="s">
        <v>123</v>
      </c>
      <c r="B90" s="2">
        <f>'Historical  Data'!F10</f>
        <v>150000</v>
      </c>
    </row>
    <row r="91" spans="1:2" x14ac:dyDescent="0.3">
      <c r="A91" t="s">
        <v>124</v>
      </c>
      <c r="B91" s="10">
        <v>0.15</v>
      </c>
    </row>
    <row r="92" spans="1:2" x14ac:dyDescent="0.3">
      <c r="A92" t="s">
        <v>125</v>
      </c>
      <c r="B92" s="2">
        <f>B90*(1+B91)</f>
        <v>172500</v>
      </c>
    </row>
    <row r="96" spans="1:2" x14ac:dyDescent="0.3">
      <c r="A96" s="5" t="s">
        <v>126</v>
      </c>
    </row>
    <row r="97" spans="1:2" x14ac:dyDescent="0.3">
      <c r="A97" t="s">
        <v>74</v>
      </c>
      <c r="B97">
        <f>'Historical  Data'!B24</f>
        <v>1.05</v>
      </c>
    </row>
    <row r="98" spans="1:2" x14ac:dyDescent="0.3">
      <c r="A98" t="s">
        <v>8</v>
      </c>
      <c r="B98">
        <f>'Historical  Data'!F11</f>
        <v>20500</v>
      </c>
    </row>
    <row r="99" spans="1:2" x14ac:dyDescent="0.3">
      <c r="A99" t="s">
        <v>10</v>
      </c>
      <c r="B99">
        <f>'Historical  Data'!F13</f>
        <v>129500</v>
      </c>
    </row>
    <row r="100" spans="1:2" x14ac:dyDescent="0.3">
      <c r="A100" t="s">
        <v>127</v>
      </c>
      <c r="B100" s="6">
        <f>B98/B99</f>
        <v>0.15830115830115829</v>
      </c>
    </row>
    <row r="101" spans="1:2" x14ac:dyDescent="0.3">
      <c r="A101" t="s">
        <v>63</v>
      </c>
      <c r="B101" s="10">
        <f>'Historical  Data'!B8</f>
        <v>0.25</v>
      </c>
    </row>
    <row r="102" spans="1:2" x14ac:dyDescent="0.3">
      <c r="A102" t="s">
        <v>128</v>
      </c>
      <c r="B102" s="6">
        <f>B97/(1+(1-B101)*B100)</f>
        <v>0.93856773080241584</v>
      </c>
    </row>
    <row r="104" spans="1:2" x14ac:dyDescent="0.3">
      <c r="A104" s="5" t="s">
        <v>129</v>
      </c>
    </row>
    <row r="105" spans="1:2" x14ac:dyDescent="0.3">
      <c r="A105" t="s">
        <v>130</v>
      </c>
      <c r="B105" s="6">
        <f>B102</f>
        <v>0.93856773080241584</v>
      </c>
    </row>
    <row r="106" spans="1:2" x14ac:dyDescent="0.3">
      <c r="A106" t="s">
        <v>127</v>
      </c>
      <c r="B106" s="6">
        <f>B100</f>
        <v>0.15830115830115829</v>
      </c>
    </row>
    <row r="107" spans="1:2" x14ac:dyDescent="0.3">
      <c r="A107" t="s">
        <v>63</v>
      </c>
      <c r="B107" s="10">
        <f>B101</f>
        <v>0.25</v>
      </c>
    </row>
    <row r="108" spans="1:2" x14ac:dyDescent="0.3">
      <c r="A108" t="s">
        <v>129</v>
      </c>
      <c r="B108">
        <f>B105*(1+(1-B107)*B106)</f>
        <v>1.05</v>
      </c>
    </row>
    <row r="117" spans="1:2" x14ac:dyDescent="0.3">
      <c r="A117" t="s">
        <v>139</v>
      </c>
    </row>
    <row r="118" spans="1:2" x14ac:dyDescent="0.3">
      <c r="A118" s="5"/>
    </row>
    <row r="119" spans="1:2" x14ac:dyDescent="0.3">
      <c r="A119" t="s">
        <v>140</v>
      </c>
      <c r="B119" s="9">
        <f>B52</f>
        <v>1428.029861408761</v>
      </c>
    </row>
    <row r="120" spans="1:2" x14ac:dyDescent="0.3">
      <c r="A120" t="s">
        <v>141</v>
      </c>
      <c r="B120" s="2">
        <f>(B80-'Historical  Data'!F11+'Historical  Data'!F12)/'Historical  Data'!B26</f>
        <v>1873.6842105263158</v>
      </c>
    </row>
    <row r="121" spans="1:2" x14ac:dyDescent="0.3">
      <c r="A121" t="s">
        <v>142</v>
      </c>
      <c r="B121" s="9">
        <f>B87</f>
        <v>1457.5</v>
      </c>
    </row>
    <row r="122" spans="1:2" x14ac:dyDescent="0.3">
      <c r="A122" t="s">
        <v>143</v>
      </c>
      <c r="B122" s="2">
        <f>AVERAGE(B120:B121)</f>
        <v>1665.5921052631579</v>
      </c>
    </row>
    <row r="123" spans="1:2" x14ac:dyDescent="0.3">
      <c r="A123" t="s">
        <v>144</v>
      </c>
      <c r="B123" s="18">
        <f>B119-B122</f>
        <v>-237.56224385439691</v>
      </c>
    </row>
    <row r="124" spans="1:2" x14ac:dyDescent="0.3">
      <c r="A124" t="s">
        <v>145</v>
      </c>
      <c r="B124" s="4">
        <f>B123/B122</f>
        <v>-0.14262930468012927</v>
      </c>
    </row>
    <row r="125" spans="1:2" x14ac:dyDescent="0.3">
      <c r="A125" t="s">
        <v>146</v>
      </c>
      <c r="B125" s="5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8E09-B10A-4F09-8929-248811F4B432}">
  <dimension ref="A1:D69"/>
  <sheetViews>
    <sheetView topLeftCell="A58" workbookViewId="0">
      <selection activeCell="O69" sqref="O69"/>
    </sheetView>
  </sheetViews>
  <sheetFormatPr defaultRowHeight="14.4" x14ac:dyDescent="0.3"/>
  <cols>
    <col min="1" max="1" width="38.88671875" bestFit="1" customWidth="1"/>
    <col min="2" max="2" width="16.21875" customWidth="1"/>
    <col min="3" max="4" width="10.44140625" bestFit="1" customWidth="1"/>
  </cols>
  <sheetData>
    <row r="1" spans="1:2" x14ac:dyDescent="0.3">
      <c r="A1" s="5" t="s">
        <v>131</v>
      </c>
    </row>
    <row r="3" spans="1:2" x14ac:dyDescent="0.3">
      <c r="A3" t="s">
        <v>27</v>
      </c>
    </row>
    <row r="4" spans="1:2" x14ac:dyDescent="0.3">
      <c r="A4" t="s">
        <v>90</v>
      </c>
      <c r="B4" t="s">
        <v>27</v>
      </c>
    </row>
    <row r="5" spans="1:2" x14ac:dyDescent="0.3">
      <c r="A5">
        <v>2021</v>
      </c>
      <c r="B5" s="3">
        <f>'Financial Analysis'!C23</f>
        <v>7.6923076923076872E-2</v>
      </c>
    </row>
    <row r="6" spans="1:2" x14ac:dyDescent="0.3">
      <c r="A6">
        <v>2022</v>
      </c>
      <c r="B6" s="3">
        <f>'Financial Analysis'!D23</f>
        <v>9.5238095238095344E-2</v>
      </c>
    </row>
    <row r="7" spans="1:2" x14ac:dyDescent="0.3">
      <c r="A7">
        <v>2023</v>
      </c>
      <c r="B7" s="3">
        <f>'Financial Analysis'!E23</f>
        <v>9.7826086956521729E-2</v>
      </c>
    </row>
    <row r="8" spans="1:2" x14ac:dyDescent="0.3">
      <c r="A8">
        <v>2024</v>
      </c>
      <c r="B8" s="3">
        <f>'Financial Analysis'!F23</f>
        <v>0.10891089108910901</v>
      </c>
    </row>
    <row r="14" spans="1:2" x14ac:dyDescent="0.3">
      <c r="A14" t="s">
        <v>30</v>
      </c>
    </row>
    <row r="15" spans="1:2" x14ac:dyDescent="0.3">
      <c r="A15" s="16" t="s">
        <v>90</v>
      </c>
      <c r="B15" s="16" t="s">
        <v>30</v>
      </c>
    </row>
    <row r="16" spans="1:2" x14ac:dyDescent="0.3">
      <c r="A16" s="16">
        <v>2020</v>
      </c>
      <c r="B16" s="17">
        <f>'Financial Analysis'!B21</f>
        <v>0.17692307692307693</v>
      </c>
    </row>
    <row r="17" spans="1:3" x14ac:dyDescent="0.3">
      <c r="A17" s="16">
        <v>2021</v>
      </c>
      <c r="B17" s="17">
        <f>'Financial Analysis'!C21</f>
        <v>0.18035714285714285</v>
      </c>
    </row>
    <row r="18" spans="1:3" x14ac:dyDescent="0.3">
      <c r="A18" s="16">
        <v>2022</v>
      </c>
      <c r="B18" s="17">
        <f>'Financial Analysis'!D21</f>
        <v>0.18627717391304346</v>
      </c>
    </row>
    <row r="19" spans="1:3" x14ac:dyDescent="0.3">
      <c r="A19" s="16">
        <v>2023</v>
      </c>
      <c r="B19" s="17">
        <f>'Financial Analysis'!E21</f>
        <v>0.18935643564356436</v>
      </c>
    </row>
    <row r="20" spans="1:3" x14ac:dyDescent="0.3">
      <c r="A20" s="16">
        <v>2024</v>
      </c>
      <c r="B20" s="17">
        <f>'Financial Analysis'!F21</f>
        <v>0.19520089285714284</v>
      </c>
    </row>
    <row r="29" spans="1:3" x14ac:dyDescent="0.3">
      <c r="A29" t="s">
        <v>132</v>
      </c>
    </row>
    <row r="30" spans="1:3" x14ac:dyDescent="0.3">
      <c r="A30" t="s">
        <v>133</v>
      </c>
      <c r="B30">
        <v>2020</v>
      </c>
      <c r="C30">
        <v>2024</v>
      </c>
    </row>
    <row r="31" spans="1:3" x14ac:dyDescent="0.3">
      <c r="A31" t="s">
        <v>134</v>
      </c>
      <c r="B31" s="3">
        <f>'Financial Analysis'!B29</f>
        <v>0.28205128205128205</v>
      </c>
      <c r="C31" s="3">
        <f>'Financial Analysis'!F29</f>
        <v>0.30357142857142855</v>
      </c>
    </row>
    <row r="32" spans="1:3" x14ac:dyDescent="0.3">
      <c r="A32" t="s">
        <v>135</v>
      </c>
      <c r="B32" s="3">
        <f>'Financial Analysis'!B30</f>
        <v>0.17692307692307693</v>
      </c>
      <c r="C32" s="3">
        <f>'Financial Analysis'!F30</f>
        <v>0.19520089285714284</v>
      </c>
    </row>
    <row r="33" spans="1:3" x14ac:dyDescent="0.3">
      <c r="A33" t="s">
        <v>136</v>
      </c>
      <c r="B33" s="3">
        <f>'Financial Analysis'!B31</f>
        <v>0.15333333333333332</v>
      </c>
      <c r="C33" s="3">
        <f>'Financial Analysis'!F31</f>
        <v>0.16882239382239383</v>
      </c>
    </row>
    <row r="34" spans="1:3" x14ac:dyDescent="0.3">
      <c r="A34" t="s">
        <v>137</v>
      </c>
      <c r="B34" s="6">
        <f>'Financial Analysis'!B32</f>
        <v>0.16666666666666666</v>
      </c>
      <c r="C34" s="6">
        <f>'Financial Analysis'!F32</f>
        <v>0.15830115830115829</v>
      </c>
    </row>
    <row r="46" spans="1:3" x14ac:dyDescent="0.3">
      <c r="A46" t="s">
        <v>29</v>
      </c>
    </row>
    <row r="47" spans="1:3" x14ac:dyDescent="0.3">
      <c r="A47" t="s">
        <v>90</v>
      </c>
      <c r="B47" t="s">
        <v>29</v>
      </c>
    </row>
    <row r="48" spans="1:3" x14ac:dyDescent="0.3">
      <c r="A48">
        <v>2021</v>
      </c>
      <c r="B48" s="3">
        <f>'Financial Analysis'!C25</f>
        <v>9.0909090909090828E-2</v>
      </c>
    </row>
    <row r="49" spans="1:4" x14ac:dyDescent="0.3">
      <c r="A49">
        <v>2022</v>
      </c>
      <c r="B49" s="3">
        <f>'Financial Analysis'!D25</f>
        <v>0.125</v>
      </c>
    </row>
    <row r="50" spans="1:4" x14ac:dyDescent="0.3">
      <c r="A50">
        <v>2023</v>
      </c>
      <c r="B50" s="3">
        <f>'Financial Analysis'!E25</f>
        <v>0.11111111111111116</v>
      </c>
    </row>
    <row r="51" spans="1:4" x14ac:dyDescent="0.3">
      <c r="A51">
        <v>2024</v>
      </c>
      <c r="B51" s="3">
        <f>'Financial Analysis'!F25</f>
        <v>0.1333333333333333</v>
      </c>
    </row>
    <row r="63" spans="1:4" x14ac:dyDescent="0.3">
      <c r="A63" t="s">
        <v>138</v>
      </c>
    </row>
    <row r="64" spans="1:4" x14ac:dyDescent="0.3">
      <c r="A64" t="s">
        <v>90</v>
      </c>
      <c r="B64" t="s">
        <v>2</v>
      </c>
      <c r="C64" t="s">
        <v>16</v>
      </c>
      <c r="D64" t="s">
        <v>15</v>
      </c>
    </row>
    <row r="66" spans="1:4" x14ac:dyDescent="0.3">
      <c r="A66">
        <v>2021</v>
      </c>
      <c r="B66" s="2">
        <f>'Financial Analysis'!C4</f>
        <v>84000</v>
      </c>
      <c r="C66" s="2">
        <f>'Financial Analysis'!C8</f>
        <v>24000</v>
      </c>
      <c r="D66" s="2">
        <f>'Financial Analysis'!C10</f>
        <v>15150</v>
      </c>
    </row>
    <row r="67" spans="1:4" x14ac:dyDescent="0.3">
      <c r="A67">
        <v>2022</v>
      </c>
      <c r="B67" s="2">
        <f>'Financial Analysis'!D4</f>
        <v>92000</v>
      </c>
      <c r="C67" s="2">
        <f>'Financial Analysis'!D8</f>
        <v>27000</v>
      </c>
      <c r="D67" s="2">
        <f>'Financial Analysis'!D10</f>
        <v>17137.5</v>
      </c>
    </row>
    <row r="68" spans="1:4" x14ac:dyDescent="0.3">
      <c r="A68">
        <v>2023</v>
      </c>
      <c r="B68" s="2">
        <f>'Financial Analysis'!E4</f>
        <v>101000</v>
      </c>
      <c r="C68" s="2">
        <f>'Financial Analysis'!E8</f>
        <v>30000</v>
      </c>
      <c r="D68" s="2">
        <f>'Financial Analysis'!E10</f>
        <v>19125</v>
      </c>
    </row>
    <row r="69" spans="1:4" x14ac:dyDescent="0.3">
      <c r="A69">
        <v>2024</v>
      </c>
      <c r="B69" s="2">
        <f>'Financial Analysis'!F4</f>
        <v>112000</v>
      </c>
      <c r="C69" s="2">
        <f>'Financial Analysis'!F8</f>
        <v>34000</v>
      </c>
      <c r="D69" s="2">
        <f>'Financial Analysis'!F10</f>
        <v>21862.5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  Data</vt:lpstr>
      <vt:lpstr>Financial Analysis</vt:lpstr>
      <vt:lpstr>3 Statement Model</vt:lpstr>
      <vt:lpstr>5 Years Forecast</vt:lpstr>
      <vt:lpstr>DCF Valuation</vt:lpstr>
      <vt:lpstr>Chart &amp;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 PANDEY</dc:creator>
  <cp:lastModifiedBy>SUNDARAM PANDEY</cp:lastModifiedBy>
  <dcterms:created xsi:type="dcterms:W3CDTF">2026-09-28T14:36:50Z</dcterms:created>
  <dcterms:modified xsi:type="dcterms:W3CDTF">2026-10-02T15:02:35Z</dcterms:modified>
</cp:coreProperties>
</file>